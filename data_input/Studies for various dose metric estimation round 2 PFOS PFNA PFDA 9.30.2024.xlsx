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153" documentId="13_ncr:1_{2908B023-F4DF-4DEE-9DF2-625A4D6D1C4A}" xr6:coauthVersionLast="47" xr6:coauthVersionMax="47" xr10:uidLastSave="{84ECC096-2378-4FE9-BE56-671BB0D64805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0" i="1" l="1"/>
  <c r="AB20" i="1"/>
  <c r="R20" i="1"/>
  <c r="Q20" i="1"/>
  <c r="AG19" i="1"/>
  <c r="AB19" i="1"/>
  <c r="R19" i="1"/>
  <c r="Q19" i="1"/>
  <c r="AG18" i="1"/>
  <c r="AB18" i="1"/>
  <c r="R18" i="1"/>
  <c r="Q18" i="1"/>
  <c r="AG17" i="1"/>
  <c r="AB17" i="1"/>
  <c r="R17" i="1"/>
  <c r="Q17" i="1"/>
  <c r="AG16" i="1"/>
  <c r="AB16" i="1" s="1"/>
  <c r="R16" i="1"/>
  <c r="Q16" i="1"/>
  <c r="Q15" i="1"/>
  <c r="AG15" i="1"/>
  <c r="R15" i="1" s="1"/>
  <c r="AG14" i="1"/>
  <c r="R14" i="1" s="1"/>
  <c r="AG13" i="1"/>
  <c r="R13" i="1" s="1"/>
  <c r="Q12" i="1"/>
  <c r="Q11" i="1"/>
  <c r="AG12" i="1"/>
  <c r="R12" i="1" s="1"/>
  <c r="AG11" i="1"/>
  <c r="AB11" i="1" s="1"/>
  <c r="Q10" i="1"/>
  <c r="AG10" i="1"/>
  <c r="R10" i="1" s="1"/>
  <c r="Q9" i="1"/>
  <c r="AG9" i="1"/>
  <c r="R9" i="1" s="1"/>
  <c r="T2" i="1"/>
  <c r="Q2" i="1"/>
  <c r="Q3" i="1"/>
  <c r="Q4" i="1"/>
  <c r="Q5" i="1"/>
  <c r="Q6" i="1"/>
  <c r="Q7" i="1"/>
  <c r="Q8" i="1"/>
  <c r="AG2" i="1"/>
  <c r="R2" i="1" s="1"/>
  <c r="AG3" i="1"/>
  <c r="R3" i="1" s="1"/>
  <c r="AG4" i="1"/>
  <c r="R4" i="1" s="1"/>
  <c r="AG5" i="1"/>
  <c r="R5" i="1" s="1"/>
  <c r="AG6" i="1"/>
  <c r="R6" i="1" s="1"/>
  <c r="AG7" i="1"/>
  <c r="R7" i="1" s="1"/>
  <c r="AG8" i="1"/>
  <c r="R8" i="1" s="1"/>
  <c r="AB2" i="1" l="1"/>
  <c r="AB12" i="1"/>
  <c r="R11" i="1"/>
  <c r="AB15" i="1"/>
  <c r="AB14" i="1"/>
  <c r="AB13" i="1"/>
  <c r="AB7" i="1"/>
  <c r="AB5" i="1"/>
  <c r="AB8" i="1"/>
  <c r="AB6" i="1"/>
  <c r="AB4" i="1"/>
  <c r="AB3" i="1"/>
  <c r="AB10" i="1"/>
  <c r="AB9" i="1"/>
</calcChain>
</file>

<file path=xl/sharedStrings.xml><?xml version="1.0" encoding="utf-8"?>
<sst xmlns="http://schemas.openxmlformats.org/spreadsheetml/2006/main" count="365" uniqueCount="70">
  <si>
    <t>Compound administered</t>
  </si>
  <si>
    <t>Compound MW</t>
  </si>
  <si>
    <t>Study</t>
  </si>
  <si>
    <t>species_name</t>
  </si>
  <si>
    <t>strain</t>
  </si>
  <si>
    <t>sex</t>
  </si>
  <si>
    <t>Doses</t>
  </si>
  <si>
    <t>Dose_A</t>
  </si>
  <si>
    <t>Dose_B</t>
  </si>
  <si>
    <t>Dose_C</t>
  </si>
  <si>
    <t>Dose_D</t>
  </si>
  <si>
    <t>Dose_E</t>
  </si>
  <si>
    <t>Dose_units</t>
  </si>
  <si>
    <t>Serum/plasma levels (ug/mL)</t>
  </si>
  <si>
    <t>Exposure Route</t>
  </si>
  <si>
    <t>route</t>
  </si>
  <si>
    <t>Study type</t>
  </si>
  <si>
    <t>Exposure_duration_d</t>
  </si>
  <si>
    <t>PFOS</t>
  </si>
  <si>
    <t>NTP 2019 28 day study</t>
  </si>
  <si>
    <t>Rat</t>
  </si>
  <si>
    <t>Sprague Dawley (Hsd:Sprague Dawley SD)</t>
  </si>
  <si>
    <t>M</t>
  </si>
  <si>
    <t>0, 0.312, 0.625, 1.25, 2.5, 5 mg/kg-day</t>
  </si>
  <si>
    <t>mg/kg-day</t>
  </si>
  <si>
    <t>BD (0.025 ug/mL), 23.730, 51.560, 94.260, 173.700, 318.200 (BD, 47.4, 103.1, 188.5, 347.3, 636.2 uM)</t>
  </si>
  <si>
    <t>Gavage in deionized water with 2% Tween 80</t>
  </si>
  <si>
    <t>Intragastric</t>
  </si>
  <si>
    <t>Subacute</t>
  </si>
  <si>
    <t>F</t>
  </si>
  <si>
    <t>0.054, 30.530, 66.970, 135.100, 237.500, 413.556 (0.1, 61.0, 133.9, 270.1, 474.9, 826.9 uM)</t>
  </si>
  <si>
    <t>PFNA</t>
  </si>
  <si>
    <t>0, 0.625, 1.25, 2.5, 5, or 10 mg/kg-day (males)</t>
  </si>
  <si>
    <r>
      <t xml:space="preserve">0.055, 56.730, 161.000, 380.000, </t>
    </r>
    <r>
      <rPr>
        <i/>
        <sz val="11"/>
        <color theme="1"/>
        <rFont val="Calibri"/>
        <family val="2"/>
        <scheme val="minor"/>
      </rPr>
      <t>358.000</t>
    </r>
    <r>
      <rPr>
        <sz val="11"/>
        <color theme="1"/>
        <rFont val="Calibri"/>
        <family val="2"/>
        <scheme val="minor"/>
      </rPr>
      <t xml:space="preserve"> [only 2 animals left at 5 mg/kg-day to sample at end of study, none left alive at 10 mg/kg-day); (approx 24 hr after last dose)</t>
    </r>
  </si>
  <si>
    <t>0, 1.56, 3.12, 6.25, 12.5, or 25 mg/kg-day (females)</t>
  </si>
  <si>
    <t>0.098, 26.400, 54.360, 112.200 [only 1 survivor at 12.5 mg/kg-day and none at 25] (approx 24 hrs after last dose)</t>
  </si>
  <si>
    <t>Singh and Singh 2019 male Parkes (P) mice</t>
  </si>
  <si>
    <t>Mouse</t>
  </si>
  <si>
    <t>Parkes</t>
  </si>
  <si>
    <t>0, 0.2, 0.5 mg/kg-day</t>
  </si>
  <si>
    <t>NA</t>
  </si>
  <si>
    <t>Gavage in water</t>
  </si>
  <si>
    <t>90 day gavage with male repro tox (PND25-PND114)</t>
  </si>
  <si>
    <t>PFDA</t>
  </si>
  <si>
    <t>0, 0.156, 0.312, 0.625, 1.25, or 2.5 mg/kg-day</t>
  </si>
  <si>
    <t>0.022, 8.505, 23.030, 42.720, 101.580, 259.400</t>
  </si>
  <si>
    <t>0.042, 11.208, 25.700, 50.290, 117.150, 246.875</t>
  </si>
  <si>
    <t>Plasma_units</t>
  </si>
  <si>
    <t>ug/mL</t>
  </si>
  <si>
    <t>chem</t>
  </si>
  <si>
    <t>Serum_A</t>
  </si>
  <si>
    <t>Serum_B</t>
  </si>
  <si>
    <t>Serum_C</t>
  </si>
  <si>
    <t>Serum_D</t>
  </si>
  <si>
    <t>Serum_E</t>
  </si>
  <si>
    <t>Serum/plasma</t>
  </si>
  <si>
    <t>plasma</t>
  </si>
  <si>
    <t>dosing_regimen</t>
  </si>
  <si>
    <t>once_daily</t>
  </si>
  <si>
    <t>Exposure_duration_hr</t>
  </si>
  <si>
    <t>tau_hr</t>
  </si>
  <si>
    <t>dosing_interval</t>
  </si>
  <si>
    <t>n_doses</t>
  </si>
  <si>
    <t>Dose_zero</t>
  </si>
  <si>
    <t>Serum_zero</t>
  </si>
  <si>
    <t>serum_measured_hr</t>
  </si>
  <si>
    <t>PFHXS</t>
  </si>
  <si>
    <t>0, 0.3, 3</t>
  </si>
  <si>
    <t>PFBS</t>
  </si>
  <si>
    <t>PFPRA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</si>
</sst>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0" fillId="0" borderId="1" xfId="0" applyNumberFormat="1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2" borderId="2" xfId="0" applyFont="1" applyFill="1" applyBorder="1" applyAlignment="1">
      <alignment vertical="top"/>
    </xf>
  </cellXfs>
  <cellStyles count="1">
    <cellStyle name="Normal" xfId="0" builtinId="0"/>
  </cellStyles>
  <dxfs count="36"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47823-D7C0-4D06-8C42-10944E45B623}" name="Table1" displayName="Table1" ref="A1:AH15" totalsRowShown="0" headerRowDxfId="35" dataDxfId="34">
  <autoFilter ref="A1:AH15" xr:uid="{49847823-D7C0-4D06-8C42-10944E45B623}"/>
  <tableColumns count="34">
    <tableColumn id="1" xr3:uid="{A9572D4E-49C2-4826-8F48-75335C1500EA}" name="chem" dataDxfId="33"/>
    <tableColumn id="2" xr3:uid="{BD1712B9-EE2B-4A79-A08E-673EAC356187}" name="Compound administered" dataDxfId="32"/>
    <tableColumn id="3" xr3:uid="{A6822180-E016-4BFC-B332-D66180B331ED}" name="Compound MW" dataDxfId="31"/>
    <tableColumn id="4" xr3:uid="{F82388AD-8CF0-4BA3-8ACC-F880151357F2}" name="Study" dataDxfId="30"/>
    <tableColumn id="5" xr3:uid="{27828BEE-E9BF-49C6-AB1B-3951D2C3E4FC}" name="species_name" dataDxfId="29"/>
    <tableColumn id="6" xr3:uid="{80C33373-A266-41AB-9FB7-E81F6E77EDEB}" name="strain" dataDxfId="28"/>
    <tableColumn id="7" xr3:uid="{1B7B2515-1E72-4C3F-94C0-2FF5B7CE8DAC}" name="sex" dataDxfId="27"/>
    <tableColumn id="8" xr3:uid="{8D18E675-3D20-464D-B5BA-67DAC392D7B2}" name="Doses" dataDxfId="26"/>
    <tableColumn id="9" xr3:uid="{F253F74C-8EDB-4BE3-BA37-62046BED84C8}" name="Dose_zero" dataDxfId="25"/>
    <tableColumn id="10" xr3:uid="{CE9DBA79-472A-43B7-931B-9BEF24A0DDC4}" name="Dose_A" dataDxfId="24"/>
    <tableColumn id="11" xr3:uid="{C1217E56-F151-417C-9098-EBA816E8C534}" name="Dose_B" dataDxfId="23"/>
    <tableColumn id="12" xr3:uid="{99024293-617E-4342-8A2F-B7EB9018D8F9}" name="Dose_C" dataDxfId="22"/>
    <tableColumn id="13" xr3:uid="{0A2A0614-8B17-4ECB-BD5B-0C54707174A6}" name="Dose_D" dataDxfId="21"/>
    <tableColumn id="14" xr3:uid="{263E543E-1ACC-4C9D-9402-2730807E9815}" name="Dose_E" dataDxfId="20"/>
    <tableColumn id="15" xr3:uid="{0C7E0E06-6B4A-48C5-957C-95642FC02620}" name="Dose_units" dataDxfId="19"/>
    <tableColumn id="32" xr3:uid="{671B1D35-FECC-44AA-ABC1-A0CE786F8DB2}" name="tau_hr" dataDxfId="18"/>
    <tableColumn id="31" xr3:uid="{26760664-F293-4E4A-AB09-41D5D214E0C0}" name="dosing_interval" dataDxfId="17">
      <calculatedColumnFormula>P2</calculatedColumnFormula>
    </tableColumn>
    <tableColumn id="33" xr3:uid="{90088214-697D-4FB9-952E-F89B534DCA3A}" name="n_doses" dataDxfId="16">
      <calculatedColumnFormula>Table1[[#This Row],[Exposure_duration_hr]]/Table1[[#This Row],[tau_hr]]</calculatedColumnFormula>
    </tableColumn>
    <tableColumn id="16" xr3:uid="{A4E6C76C-C0B8-4D4B-873D-1627808301BF}" name="Serum/plasma levels (ug/mL)" dataDxfId="15"/>
    <tableColumn id="17" xr3:uid="{8D619B1F-39A2-4A16-A0E8-22639C86E86E}" name="Serum_zero" dataDxfId="14"/>
    <tableColumn id="18" xr3:uid="{57C8708A-C3A9-4140-BCD1-C24326BE5C1C}" name="Serum_A" dataDxfId="13"/>
    <tableColumn id="19" xr3:uid="{BA315C01-43A5-4DBD-AF2F-33CC66DEE426}" name="Serum_B" dataDxfId="12"/>
    <tableColumn id="20" xr3:uid="{499C36FC-5B7C-47D0-B134-3C76A313FB11}" name="Serum_C" dataDxfId="11"/>
    <tableColumn id="21" xr3:uid="{07FA0962-D594-488D-8806-60B4D4385793}" name="Serum_D" dataDxfId="10"/>
    <tableColumn id="22" xr3:uid="{BD2E84B3-E184-4E0E-BEE5-C8D08566AE1E}" name="Serum_E" dataDxfId="9"/>
    <tableColumn id="28" xr3:uid="{2927DF9C-F92D-4FA3-9E9F-5A77022D53EB}" name="Serum/plasma" dataDxfId="8"/>
    <tableColumn id="23" xr3:uid="{3A429450-28FF-4AD3-9202-1DE7AFAC7419}" name="Plasma_units" dataDxfId="7"/>
    <tableColumn id="34" xr3:uid="{2A3B24CF-A79F-4F46-9DEC-80C68844F6F9}" name="serum_measured_hr" dataDxfId="6">
      <calculatedColumnFormula>Table1[[#This Row],[Exposure_duration_hr]]+24</calculatedColumnFormula>
    </tableColumn>
    <tableColumn id="24" xr3:uid="{916F43E8-3837-4E6A-9EAD-1BD7AA7791CF}" name="Exposure Route" dataDxfId="5"/>
    <tableColumn id="25" xr3:uid="{BAA5D54D-8F27-4F1F-A132-6B888107D010}" name="route" dataDxfId="4"/>
    <tableColumn id="26" xr3:uid="{45191D77-0A12-4E3F-B00C-1E468EE2335D}" name="Study type" dataDxfId="3"/>
    <tableColumn id="27" xr3:uid="{BADF1BCC-C22C-4973-B18E-AFFB418F9C78}" name="Exposure_duration_d" dataDxfId="2"/>
    <tableColumn id="30" xr3:uid="{AD187263-823B-45BE-82EB-B556C8DFBB19}" name="Exposure_duration_hr" dataDxfId="1">
      <calculatedColumnFormula>AF2*24</calculatedColumnFormula>
    </tableColumn>
    <tableColumn id="29" xr3:uid="{1379B653-AAA0-447D-B0B3-3EDC92CC2F7A}" name="dosing_regim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workbookViewId="0">
      <selection activeCell="G20" sqref="G20"/>
    </sheetView>
  </sheetViews>
  <sheetFormatPr defaultRowHeight="15" x14ac:dyDescent="0.25"/>
  <cols>
    <col min="1" max="1" width="10.7109375" bestFit="1" customWidth="1"/>
    <col min="2" max="2" width="25.140625" customWidth="1"/>
    <col min="3" max="3" width="17.140625" customWidth="1"/>
    <col min="5" max="5" width="15.7109375" customWidth="1"/>
    <col min="8" max="8" width="48" customWidth="1"/>
    <col min="9" max="9" width="9.85546875" customWidth="1"/>
    <col min="10" max="11" width="9.7109375" customWidth="1"/>
    <col min="12" max="12" width="9.85546875" customWidth="1"/>
    <col min="13" max="13" width="15.5703125" customWidth="1"/>
    <col min="14" max="14" width="12.28515625" customWidth="1"/>
    <col min="15" max="18" width="13" customWidth="1"/>
    <col min="19" max="19" width="100.7109375" customWidth="1"/>
    <col min="20" max="20" width="15.7109375" customWidth="1"/>
    <col min="21" max="21" width="11.5703125" customWidth="1"/>
    <col min="22" max="22" width="11.85546875" customWidth="1"/>
    <col min="23" max="23" width="11.7109375" customWidth="1"/>
    <col min="24" max="26" width="11.42578125" customWidth="1"/>
    <col min="27" max="28" width="14.85546875" customWidth="1"/>
    <col min="29" max="29" width="41.42578125" customWidth="1"/>
    <col min="30" max="30" width="17.28515625" customWidth="1"/>
    <col min="31" max="31" width="12.7109375" customWidth="1"/>
    <col min="32" max="33" width="22" customWidth="1"/>
  </cols>
  <sheetData>
    <row r="1" spans="1:34" s="1" customFormat="1" x14ac:dyDescent="0.25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60</v>
      </c>
      <c r="Q1" s="1" t="s">
        <v>61</v>
      </c>
      <c r="R1" s="1" t="s">
        <v>62</v>
      </c>
      <c r="S1" s="1" t="s">
        <v>13</v>
      </c>
      <c r="T1" s="1" t="s">
        <v>64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47</v>
      </c>
      <c r="AB1" s="1" t="s">
        <v>65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59</v>
      </c>
      <c r="AH1" s="1" t="s">
        <v>57</v>
      </c>
    </row>
    <row r="2" spans="1:34" s="1" customFormat="1" x14ac:dyDescent="0.25">
      <c r="A2" s="1" t="s">
        <v>18</v>
      </c>
      <c r="B2" s="1" t="s">
        <v>18</v>
      </c>
      <c r="C2" s="1">
        <v>500.13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0</v>
      </c>
      <c r="J2" s="1">
        <v>0.312</v>
      </c>
      <c r="K2" s="1">
        <v>0.625</v>
      </c>
      <c r="L2" s="1">
        <v>1.25</v>
      </c>
      <c r="M2" s="1">
        <v>2.5</v>
      </c>
      <c r="N2" s="1">
        <v>5</v>
      </c>
      <c r="O2" s="1" t="s">
        <v>24</v>
      </c>
      <c r="P2" s="1">
        <v>24</v>
      </c>
      <c r="Q2" s="1">
        <f t="shared" ref="Q2:Q8" si="0">P2</f>
        <v>24</v>
      </c>
      <c r="R2" s="1">
        <f>Table1[[#This Row],[Exposure_duration_hr]]/Table1[[#This Row],[tau_hr]]</f>
        <v>28</v>
      </c>
      <c r="S2" s="1" t="s">
        <v>25</v>
      </c>
      <c r="T2" s="1">
        <f>0.025/2</f>
        <v>1.2500000000000001E-2</v>
      </c>
      <c r="U2" s="1">
        <v>23.73</v>
      </c>
      <c r="V2" s="1">
        <v>51.56</v>
      </c>
      <c r="W2" s="1">
        <v>94.26</v>
      </c>
      <c r="X2" s="1">
        <v>173.7</v>
      </c>
      <c r="Y2" s="1">
        <v>318.2</v>
      </c>
      <c r="Z2" s="1" t="s">
        <v>56</v>
      </c>
      <c r="AA2" s="1" t="s">
        <v>48</v>
      </c>
      <c r="AB2" s="1">
        <f>Table1[[#This Row],[Exposure_duration_hr]]+24</f>
        <v>696</v>
      </c>
      <c r="AC2" s="1" t="s">
        <v>26</v>
      </c>
      <c r="AD2" s="1" t="s">
        <v>27</v>
      </c>
      <c r="AE2" s="1" t="s">
        <v>28</v>
      </c>
      <c r="AF2" s="1">
        <v>28</v>
      </c>
      <c r="AG2" s="1">
        <f t="shared" ref="AG2:AG8" si="1">AF2*24</f>
        <v>672</v>
      </c>
      <c r="AH2" s="1" t="s">
        <v>58</v>
      </c>
    </row>
    <row r="3" spans="1:34" s="1" customFormat="1" x14ac:dyDescent="0.25">
      <c r="A3" s="1" t="s">
        <v>18</v>
      </c>
      <c r="B3" s="1" t="s">
        <v>18</v>
      </c>
      <c r="C3" s="1">
        <v>500.13</v>
      </c>
      <c r="D3" s="1" t="s">
        <v>19</v>
      </c>
      <c r="E3" s="1" t="s">
        <v>20</v>
      </c>
      <c r="F3" s="1" t="s">
        <v>21</v>
      </c>
      <c r="G3" s="1" t="s">
        <v>29</v>
      </c>
      <c r="H3" s="1" t="s">
        <v>23</v>
      </c>
      <c r="I3" s="1">
        <v>0</v>
      </c>
      <c r="J3" s="1">
        <v>0.312</v>
      </c>
      <c r="K3" s="1">
        <v>0.625</v>
      </c>
      <c r="L3" s="1">
        <v>1.25</v>
      </c>
      <c r="M3" s="1">
        <v>2.5</v>
      </c>
      <c r="N3" s="1">
        <v>5</v>
      </c>
      <c r="O3" s="1" t="s">
        <v>24</v>
      </c>
      <c r="P3" s="1">
        <v>24</v>
      </c>
      <c r="Q3" s="1">
        <f t="shared" si="0"/>
        <v>24</v>
      </c>
      <c r="R3" s="1">
        <f>Table1[[#This Row],[Exposure_duration_hr]]/Table1[[#This Row],[tau_hr]]</f>
        <v>28</v>
      </c>
      <c r="S3" s="1" t="s">
        <v>30</v>
      </c>
      <c r="T3" s="1">
        <v>5.3999999999999999E-2</v>
      </c>
      <c r="U3" s="1">
        <v>30.53</v>
      </c>
      <c r="V3" s="1">
        <v>66.97</v>
      </c>
      <c r="W3" s="1">
        <v>135.1</v>
      </c>
      <c r="X3" s="1">
        <v>237.5</v>
      </c>
      <c r="Y3" s="1">
        <v>413.55599999999998</v>
      </c>
      <c r="Z3" s="1" t="s">
        <v>56</v>
      </c>
      <c r="AA3" s="1" t="s">
        <v>48</v>
      </c>
      <c r="AB3" s="1">
        <f>Table1[[#This Row],[Exposure_duration_hr]]+24</f>
        <v>696</v>
      </c>
      <c r="AC3" s="1" t="s">
        <v>26</v>
      </c>
      <c r="AD3" s="1" t="s">
        <v>27</v>
      </c>
      <c r="AE3" s="1" t="s">
        <v>28</v>
      </c>
      <c r="AF3" s="1">
        <v>28</v>
      </c>
      <c r="AG3" s="1">
        <f t="shared" si="1"/>
        <v>672</v>
      </c>
      <c r="AH3" s="1" t="s">
        <v>58</v>
      </c>
    </row>
    <row r="4" spans="1:34" s="1" customFormat="1" x14ac:dyDescent="0.25">
      <c r="A4" s="1" t="s">
        <v>31</v>
      </c>
      <c r="B4" s="1" t="s">
        <v>31</v>
      </c>
      <c r="C4" s="1">
        <v>464.08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32</v>
      </c>
      <c r="I4" s="1">
        <v>0</v>
      </c>
      <c r="J4" s="1">
        <v>0.625</v>
      </c>
      <c r="K4" s="1">
        <v>1.25</v>
      </c>
      <c r="L4" s="1">
        <v>2.5</v>
      </c>
      <c r="M4" s="1">
        <v>5</v>
      </c>
      <c r="N4" s="1">
        <v>10</v>
      </c>
      <c r="O4" s="1" t="s">
        <v>24</v>
      </c>
      <c r="P4" s="1">
        <v>24</v>
      </c>
      <c r="Q4" s="1">
        <f t="shared" si="0"/>
        <v>24</v>
      </c>
      <c r="R4" s="1">
        <f>Table1[[#This Row],[Exposure_duration_hr]]/Table1[[#This Row],[tau_hr]]</f>
        <v>28</v>
      </c>
      <c r="S4" s="1" t="s">
        <v>33</v>
      </c>
      <c r="T4" s="1">
        <v>5.5E-2</v>
      </c>
      <c r="U4" s="1">
        <v>56.73</v>
      </c>
      <c r="V4" s="1">
        <v>161</v>
      </c>
      <c r="W4" s="1">
        <v>380</v>
      </c>
      <c r="X4" s="1" t="s">
        <v>40</v>
      </c>
      <c r="Y4" s="1" t="s">
        <v>40</v>
      </c>
      <c r="Z4" s="1" t="s">
        <v>56</v>
      </c>
      <c r="AA4" s="1" t="s">
        <v>48</v>
      </c>
      <c r="AB4" s="1">
        <f>Table1[[#This Row],[Exposure_duration_hr]]+24</f>
        <v>696</v>
      </c>
      <c r="AC4" s="1" t="s">
        <v>26</v>
      </c>
      <c r="AD4" s="1" t="s">
        <v>27</v>
      </c>
      <c r="AE4" s="1" t="s">
        <v>28</v>
      </c>
      <c r="AF4" s="1">
        <v>28</v>
      </c>
      <c r="AG4" s="1">
        <f t="shared" si="1"/>
        <v>672</v>
      </c>
      <c r="AH4" s="1" t="s">
        <v>58</v>
      </c>
    </row>
    <row r="5" spans="1:34" s="1" customFormat="1" x14ac:dyDescent="0.25">
      <c r="A5" s="1" t="s">
        <v>31</v>
      </c>
      <c r="B5" s="1" t="s">
        <v>31</v>
      </c>
      <c r="C5" s="1">
        <v>464.08</v>
      </c>
      <c r="D5" s="1" t="s">
        <v>19</v>
      </c>
      <c r="E5" s="1" t="s">
        <v>20</v>
      </c>
      <c r="F5" s="1" t="s">
        <v>21</v>
      </c>
      <c r="G5" s="1" t="s">
        <v>29</v>
      </c>
      <c r="H5" s="1" t="s">
        <v>34</v>
      </c>
      <c r="I5" s="1">
        <v>0</v>
      </c>
      <c r="J5" s="1">
        <v>1.56</v>
      </c>
      <c r="K5" s="1">
        <v>3.12</v>
      </c>
      <c r="L5" s="1">
        <v>6.25</v>
      </c>
      <c r="M5" s="1">
        <v>12.5</v>
      </c>
      <c r="N5" s="1">
        <v>25</v>
      </c>
      <c r="O5" s="1" t="s">
        <v>24</v>
      </c>
      <c r="P5" s="1">
        <v>24</v>
      </c>
      <c r="Q5" s="1">
        <f t="shared" si="0"/>
        <v>24</v>
      </c>
      <c r="R5" s="1">
        <f>Table1[[#This Row],[Exposure_duration_hr]]/Table1[[#This Row],[tau_hr]]</f>
        <v>28</v>
      </c>
      <c r="S5" s="1" t="s">
        <v>35</v>
      </c>
      <c r="T5" s="1">
        <v>9.8000000000000004E-2</v>
      </c>
      <c r="U5" s="1">
        <v>26.4</v>
      </c>
      <c r="V5" s="1">
        <v>54.36</v>
      </c>
      <c r="W5" s="1">
        <v>112.2</v>
      </c>
      <c r="X5" s="1" t="s">
        <v>40</v>
      </c>
      <c r="Y5" s="1" t="s">
        <v>40</v>
      </c>
      <c r="Z5" s="1" t="s">
        <v>56</v>
      </c>
      <c r="AA5" s="1" t="s">
        <v>48</v>
      </c>
      <c r="AB5" s="1">
        <f>Table1[[#This Row],[Exposure_duration_hr]]+24</f>
        <v>696</v>
      </c>
      <c r="AC5" s="1" t="s">
        <v>26</v>
      </c>
      <c r="AD5" s="1" t="s">
        <v>27</v>
      </c>
      <c r="AE5" s="1" t="s">
        <v>28</v>
      </c>
      <c r="AF5" s="1">
        <v>28</v>
      </c>
      <c r="AG5" s="1">
        <f t="shared" si="1"/>
        <v>672</v>
      </c>
      <c r="AH5" s="1" t="s">
        <v>58</v>
      </c>
    </row>
    <row r="6" spans="1:34" s="1" customFormat="1" x14ac:dyDescent="0.25">
      <c r="A6" s="1" t="s">
        <v>31</v>
      </c>
      <c r="B6" s="1" t="s">
        <v>31</v>
      </c>
      <c r="C6" s="1">
        <v>464.08</v>
      </c>
      <c r="D6" s="1" t="s">
        <v>36</v>
      </c>
      <c r="E6" s="1" t="s">
        <v>37</v>
      </c>
      <c r="F6" s="1" t="s">
        <v>38</v>
      </c>
      <c r="G6" s="1" t="s">
        <v>22</v>
      </c>
      <c r="H6" s="1" t="s">
        <v>39</v>
      </c>
      <c r="I6" s="1">
        <v>0</v>
      </c>
      <c r="J6" s="1">
        <v>0.2</v>
      </c>
      <c r="K6" s="1">
        <v>0.5</v>
      </c>
      <c r="L6" s="1" t="s">
        <v>40</v>
      </c>
      <c r="M6" s="1" t="s">
        <v>40</v>
      </c>
      <c r="N6" s="1" t="s">
        <v>40</v>
      </c>
      <c r="O6" s="1" t="s">
        <v>24</v>
      </c>
      <c r="P6" s="1">
        <v>24</v>
      </c>
      <c r="Q6" s="1">
        <f t="shared" si="0"/>
        <v>24</v>
      </c>
      <c r="R6" s="1">
        <f>Table1[[#This Row],[Exposure_duration_hr]]/Table1[[#This Row],[tau_hr]]</f>
        <v>90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40</v>
      </c>
      <c r="Z6" s="1" t="s">
        <v>56</v>
      </c>
      <c r="AA6" s="1" t="s">
        <v>48</v>
      </c>
      <c r="AB6" s="1">
        <f>Table1[[#This Row],[Exposure_duration_hr]]+24</f>
        <v>2184</v>
      </c>
      <c r="AC6" s="1" t="s">
        <v>41</v>
      </c>
      <c r="AD6" s="1" t="s">
        <v>27</v>
      </c>
      <c r="AE6" s="1" t="s">
        <v>42</v>
      </c>
      <c r="AF6" s="1">
        <v>90</v>
      </c>
      <c r="AG6" s="1">
        <f t="shared" si="1"/>
        <v>2160</v>
      </c>
      <c r="AH6" s="1" t="s">
        <v>58</v>
      </c>
    </row>
    <row r="7" spans="1:34" s="1" customFormat="1" x14ac:dyDescent="0.25">
      <c r="A7" s="1" t="s">
        <v>43</v>
      </c>
      <c r="B7" s="1" t="s">
        <v>43</v>
      </c>
      <c r="C7" s="1">
        <v>514.08000000000004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44</v>
      </c>
      <c r="I7" s="1">
        <v>0</v>
      </c>
      <c r="J7" s="1">
        <v>0.156</v>
      </c>
      <c r="K7" s="1">
        <v>0.312</v>
      </c>
      <c r="L7" s="1">
        <v>0.625</v>
      </c>
      <c r="M7" s="1">
        <v>1.25</v>
      </c>
      <c r="N7" s="1">
        <v>2.5</v>
      </c>
      <c r="O7" s="1" t="s">
        <v>24</v>
      </c>
      <c r="P7" s="1">
        <v>24</v>
      </c>
      <c r="Q7" s="1">
        <f t="shared" si="0"/>
        <v>24</v>
      </c>
      <c r="R7" s="1">
        <f>Table1[[#This Row],[Exposure_duration_hr]]/Table1[[#This Row],[tau_hr]]</f>
        <v>28</v>
      </c>
      <c r="S7" s="1" t="s">
        <v>45</v>
      </c>
      <c r="T7" s="1">
        <v>2.1999999999999999E-2</v>
      </c>
      <c r="U7" s="1">
        <v>8.5050000000000008</v>
      </c>
      <c r="V7" s="1">
        <v>23.03</v>
      </c>
      <c r="W7" s="1">
        <v>42.72</v>
      </c>
      <c r="X7" s="1">
        <v>101.58</v>
      </c>
      <c r="Y7" s="1">
        <v>259.39999999999998</v>
      </c>
      <c r="Z7" s="1" t="s">
        <v>56</v>
      </c>
      <c r="AA7" s="1" t="s">
        <v>48</v>
      </c>
      <c r="AB7" s="1">
        <f>Table1[[#This Row],[Exposure_duration_hr]]+24</f>
        <v>696</v>
      </c>
      <c r="AC7" s="1" t="s">
        <v>26</v>
      </c>
      <c r="AD7" s="1" t="s">
        <v>27</v>
      </c>
      <c r="AE7" s="1" t="s">
        <v>28</v>
      </c>
      <c r="AF7" s="1">
        <v>28</v>
      </c>
      <c r="AG7" s="1">
        <f t="shared" si="1"/>
        <v>672</v>
      </c>
      <c r="AH7" s="1" t="s">
        <v>58</v>
      </c>
    </row>
    <row r="8" spans="1:34" s="1" customFormat="1" x14ac:dyDescent="0.25">
      <c r="A8" s="1" t="s">
        <v>43</v>
      </c>
      <c r="B8" s="1" t="s">
        <v>43</v>
      </c>
      <c r="C8" s="1">
        <v>514.08000000000004</v>
      </c>
      <c r="D8" s="1" t="s">
        <v>19</v>
      </c>
      <c r="E8" s="1" t="s">
        <v>20</v>
      </c>
      <c r="F8" s="1" t="s">
        <v>21</v>
      </c>
      <c r="G8" s="1" t="s">
        <v>29</v>
      </c>
      <c r="H8" s="1" t="s">
        <v>44</v>
      </c>
      <c r="I8" s="1">
        <v>0</v>
      </c>
      <c r="J8" s="1">
        <v>0.156</v>
      </c>
      <c r="K8" s="1">
        <v>0.312</v>
      </c>
      <c r="L8" s="1">
        <v>0.625</v>
      </c>
      <c r="M8" s="1">
        <v>1.25</v>
      </c>
      <c r="N8" s="1">
        <v>2.5</v>
      </c>
      <c r="O8" s="1" t="s">
        <v>24</v>
      </c>
      <c r="P8" s="1">
        <v>24</v>
      </c>
      <c r="Q8" s="1">
        <f t="shared" si="0"/>
        <v>24</v>
      </c>
      <c r="R8" s="1">
        <f>Table1[[#This Row],[Exposure_duration_hr]]/Table1[[#This Row],[tau_hr]]</f>
        <v>28</v>
      </c>
      <c r="S8" s="1" t="s">
        <v>46</v>
      </c>
      <c r="T8" s="1">
        <v>4.2000000000000003E-2</v>
      </c>
      <c r="U8" s="1">
        <v>11.208</v>
      </c>
      <c r="V8" s="1">
        <v>25.7</v>
      </c>
      <c r="W8" s="1">
        <v>50.29</v>
      </c>
      <c r="X8" s="1">
        <v>117.15</v>
      </c>
      <c r="Y8" s="1">
        <v>246.875</v>
      </c>
      <c r="Z8" s="1" t="s">
        <v>56</v>
      </c>
      <c r="AA8" s="1" t="s">
        <v>48</v>
      </c>
      <c r="AB8" s="1">
        <f>Table1[[#This Row],[Exposure_duration_hr]]+24</f>
        <v>696</v>
      </c>
      <c r="AC8" s="1" t="s">
        <v>26</v>
      </c>
      <c r="AD8" s="1" t="s">
        <v>27</v>
      </c>
      <c r="AE8" s="1" t="s">
        <v>28</v>
      </c>
      <c r="AF8" s="1">
        <v>28</v>
      </c>
      <c r="AG8" s="1">
        <f t="shared" si="1"/>
        <v>672</v>
      </c>
      <c r="AH8" s="1" t="s">
        <v>58</v>
      </c>
    </row>
    <row r="9" spans="1:34" x14ac:dyDescent="0.25">
      <c r="A9" s="1" t="s">
        <v>31</v>
      </c>
      <c r="B9" s="1" t="s">
        <v>31</v>
      </c>
      <c r="C9" s="1">
        <v>464.08</v>
      </c>
      <c r="D9" s="1" t="s">
        <v>40</v>
      </c>
      <c r="E9" s="1" t="s">
        <v>37</v>
      </c>
      <c r="F9" s="1" t="s">
        <v>40</v>
      </c>
      <c r="G9" s="1" t="s">
        <v>22</v>
      </c>
      <c r="H9" s="1"/>
      <c r="I9" s="1">
        <v>0</v>
      </c>
      <c r="J9" s="1">
        <v>0.2</v>
      </c>
      <c r="K9" s="1" t="s">
        <v>40</v>
      </c>
      <c r="L9" s="1" t="s">
        <v>40</v>
      </c>
      <c r="M9" s="1" t="s">
        <v>40</v>
      </c>
      <c r="N9" s="1" t="s">
        <v>40</v>
      </c>
      <c r="O9" s="1" t="s">
        <v>24</v>
      </c>
      <c r="P9" s="1">
        <v>24</v>
      </c>
      <c r="Q9" s="2">
        <f>P9</f>
        <v>24</v>
      </c>
      <c r="R9" s="2">
        <f>Table1[[#This Row],[Exposure_duration_hr]]/Table1[[#This Row],[tau_hr]]</f>
        <v>90</v>
      </c>
      <c r="S9" s="1" t="s">
        <v>40</v>
      </c>
      <c r="T9" s="1">
        <v>0</v>
      </c>
      <c r="U9" s="1" t="s">
        <v>40</v>
      </c>
      <c r="V9" s="1" t="s">
        <v>40</v>
      </c>
      <c r="W9" s="1" t="s">
        <v>40</v>
      </c>
      <c r="X9" s="1" t="s">
        <v>40</v>
      </c>
      <c r="Y9" s="1" t="s">
        <v>40</v>
      </c>
      <c r="Z9" s="1" t="s">
        <v>56</v>
      </c>
      <c r="AA9" s="1" t="s">
        <v>48</v>
      </c>
      <c r="AB9" s="2">
        <f>Table1[[#This Row],[Exposure_duration_hr]]+24</f>
        <v>2184</v>
      </c>
      <c r="AC9" s="1"/>
      <c r="AD9" s="1" t="s">
        <v>27</v>
      </c>
      <c r="AE9" s="1"/>
      <c r="AF9" s="1">
        <v>90</v>
      </c>
      <c r="AG9" s="2">
        <f t="shared" ref="AG9:AG20" si="2">AF9*24</f>
        <v>2160</v>
      </c>
      <c r="AH9" s="1" t="s">
        <v>58</v>
      </c>
    </row>
    <row r="10" spans="1:34" x14ac:dyDescent="0.25">
      <c r="A10" s="1" t="s">
        <v>31</v>
      </c>
      <c r="B10" s="1" t="s">
        <v>31</v>
      </c>
      <c r="C10" s="1">
        <v>464.08</v>
      </c>
      <c r="D10" s="1" t="s">
        <v>40</v>
      </c>
      <c r="E10" s="1" t="s">
        <v>37</v>
      </c>
      <c r="F10" s="1" t="s">
        <v>40</v>
      </c>
      <c r="G10" s="1" t="s">
        <v>29</v>
      </c>
      <c r="H10" s="1"/>
      <c r="I10" s="1">
        <v>0</v>
      </c>
      <c r="J10" s="1">
        <v>0.83</v>
      </c>
      <c r="K10" s="1" t="s">
        <v>40</v>
      </c>
      <c r="L10" s="1" t="s">
        <v>40</v>
      </c>
      <c r="M10" s="1" t="s">
        <v>40</v>
      </c>
      <c r="N10" s="1" t="s">
        <v>40</v>
      </c>
      <c r="O10" s="1" t="s">
        <v>24</v>
      </c>
      <c r="P10" s="1">
        <v>24</v>
      </c>
      <c r="Q10" s="2">
        <f>P10</f>
        <v>24</v>
      </c>
      <c r="R10" s="2">
        <f>Table1[[#This Row],[Exposure_duration_hr]]/Table1[[#This Row],[tau_hr]]</f>
        <v>18</v>
      </c>
      <c r="S10" s="1" t="s">
        <v>40</v>
      </c>
      <c r="T10" s="1">
        <v>0</v>
      </c>
      <c r="U10" s="1">
        <v>8.91</v>
      </c>
      <c r="V10" s="1" t="s">
        <v>40</v>
      </c>
      <c r="W10" s="1" t="s">
        <v>40</v>
      </c>
      <c r="X10" s="1" t="s">
        <v>40</v>
      </c>
      <c r="Y10" s="1" t="s">
        <v>40</v>
      </c>
      <c r="Z10" s="1" t="s">
        <v>56</v>
      </c>
      <c r="AA10" s="1" t="s">
        <v>48</v>
      </c>
      <c r="AB10" s="2">
        <f>Table1[[#This Row],[Exposure_duration_hr]]+24</f>
        <v>456</v>
      </c>
      <c r="AC10" s="1"/>
      <c r="AD10" s="1" t="s">
        <v>27</v>
      </c>
      <c r="AE10" s="1"/>
      <c r="AF10" s="1">
        <v>18</v>
      </c>
      <c r="AG10" s="2">
        <f t="shared" si="2"/>
        <v>432</v>
      </c>
      <c r="AH10" s="1" t="s">
        <v>58</v>
      </c>
    </row>
    <row r="11" spans="1:34" x14ac:dyDescent="0.25">
      <c r="A11" s="1" t="s">
        <v>66</v>
      </c>
      <c r="B11" s="1" t="s">
        <v>66</v>
      </c>
      <c r="C11" s="1"/>
      <c r="D11" s="1" t="s">
        <v>40</v>
      </c>
      <c r="E11" s="1" t="s">
        <v>37</v>
      </c>
      <c r="F11" s="1" t="s">
        <v>40</v>
      </c>
      <c r="G11" s="1" t="s">
        <v>22</v>
      </c>
      <c r="H11" s="1" t="s">
        <v>67</v>
      </c>
      <c r="I11" s="1">
        <v>0</v>
      </c>
      <c r="J11" s="1">
        <v>0.3</v>
      </c>
      <c r="K11" s="1">
        <v>3</v>
      </c>
      <c r="L11" s="1" t="s">
        <v>40</v>
      </c>
      <c r="M11" s="1" t="s">
        <v>40</v>
      </c>
      <c r="N11" s="1" t="s">
        <v>40</v>
      </c>
      <c r="O11" s="1" t="s">
        <v>24</v>
      </c>
      <c r="P11" s="1">
        <v>24</v>
      </c>
      <c r="Q11" s="2">
        <f t="shared" ref="Q11:Q12" si="3">P11</f>
        <v>24</v>
      </c>
      <c r="R11" s="2">
        <f>Table1[[#This Row],[Exposure_duration_hr]]/Table1[[#This Row],[tau_hr]]</f>
        <v>70</v>
      </c>
      <c r="S11" s="1"/>
      <c r="T11" s="1">
        <v>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56</v>
      </c>
      <c r="AA11" s="1" t="s">
        <v>48</v>
      </c>
      <c r="AB11" s="2">
        <f>Table1[[#This Row],[Exposure_duration_hr]]+24</f>
        <v>1704</v>
      </c>
      <c r="AC11" s="1"/>
      <c r="AD11" s="1" t="s">
        <v>27</v>
      </c>
      <c r="AE11" s="1"/>
      <c r="AF11" s="1">
        <v>70</v>
      </c>
      <c r="AG11" s="2">
        <f t="shared" si="2"/>
        <v>1680</v>
      </c>
      <c r="AH11" s="1" t="s">
        <v>58</v>
      </c>
    </row>
    <row r="12" spans="1:34" x14ac:dyDescent="0.25">
      <c r="A12" s="1" t="s">
        <v>66</v>
      </c>
      <c r="B12" s="1" t="s">
        <v>66</v>
      </c>
      <c r="C12" s="1"/>
      <c r="D12" s="1" t="s">
        <v>40</v>
      </c>
      <c r="E12" s="1" t="s">
        <v>37</v>
      </c>
      <c r="F12" s="1" t="s">
        <v>40</v>
      </c>
      <c r="G12" s="1" t="s">
        <v>29</v>
      </c>
      <c r="H12" s="1" t="s">
        <v>67</v>
      </c>
      <c r="I12" s="1">
        <v>0</v>
      </c>
      <c r="J12" s="1">
        <v>0.3</v>
      </c>
      <c r="K12" s="1">
        <v>3</v>
      </c>
      <c r="L12" s="1" t="s">
        <v>40</v>
      </c>
      <c r="M12" s="1" t="s">
        <v>40</v>
      </c>
      <c r="N12" s="1" t="s">
        <v>40</v>
      </c>
      <c r="O12" s="1" t="s">
        <v>24</v>
      </c>
      <c r="P12" s="1">
        <v>24</v>
      </c>
      <c r="Q12" s="2">
        <f t="shared" si="3"/>
        <v>24</v>
      </c>
      <c r="R12" s="2">
        <f>Table1[[#This Row],[Exposure_duration_hr]]/Table1[[#This Row],[tau_hr]]</f>
        <v>42</v>
      </c>
      <c r="S12" s="1"/>
      <c r="T12" s="1">
        <v>0</v>
      </c>
      <c r="U12" s="1" t="s">
        <v>40</v>
      </c>
      <c r="V12" s="1" t="s">
        <v>40</v>
      </c>
      <c r="W12" s="1" t="s">
        <v>40</v>
      </c>
      <c r="X12" s="1" t="s">
        <v>40</v>
      </c>
      <c r="Y12" s="1" t="s">
        <v>40</v>
      </c>
      <c r="Z12" s="1" t="s">
        <v>56</v>
      </c>
      <c r="AA12" s="1" t="s">
        <v>48</v>
      </c>
      <c r="AB12" s="2">
        <f>Table1[[#This Row],[Exposure_duration_hr]]+24</f>
        <v>1032</v>
      </c>
      <c r="AC12" s="1"/>
      <c r="AD12" s="1" t="s">
        <v>27</v>
      </c>
      <c r="AE12" s="1"/>
      <c r="AF12" s="1">
        <v>42</v>
      </c>
      <c r="AG12" s="2">
        <f t="shared" si="2"/>
        <v>1008</v>
      </c>
      <c r="AH12" s="1" t="s">
        <v>58</v>
      </c>
    </row>
    <row r="13" spans="1:34" x14ac:dyDescent="0.25">
      <c r="A13" s="1" t="s">
        <v>66</v>
      </c>
      <c r="B13" s="1" t="s">
        <v>66</v>
      </c>
      <c r="C13" s="1"/>
      <c r="D13" s="1" t="s">
        <v>40</v>
      </c>
      <c r="E13" s="1" t="s">
        <v>20</v>
      </c>
      <c r="F13" s="1" t="s">
        <v>40</v>
      </c>
      <c r="G13" s="1" t="s">
        <v>22</v>
      </c>
      <c r="H13" s="1"/>
      <c r="I13" s="1">
        <v>0</v>
      </c>
      <c r="J13" s="1">
        <v>0.05</v>
      </c>
      <c r="K13" s="1">
        <v>10</v>
      </c>
      <c r="L13" s="1" t="s">
        <v>40</v>
      </c>
      <c r="M13" s="1" t="s">
        <v>40</v>
      </c>
      <c r="N13" s="1" t="s">
        <v>40</v>
      </c>
      <c r="O13" s="1" t="s">
        <v>24</v>
      </c>
      <c r="P13" s="1">
        <v>24</v>
      </c>
      <c r="Q13" s="1">
        <v>24</v>
      </c>
      <c r="R13" s="2">
        <f>Table1[[#This Row],[Exposure_duration_hr]]/Table1[[#This Row],[tau_hr]]</f>
        <v>31</v>
      </c>
      <c r="S13" s="1"/>
      <c r="T13" s="1">
        <v>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56</v>
      </c>
      <c r="AA13" s="1" t="s">
        <v>48</v>
      </c>
      <c r="AB13" s="2">
        <f>Table1[[#This Row],[Exposure_duration_hr]]+24</f>
        <v>768</v>
      </c>
      <c r="AC13" s="1"/>
      <c r="AD13" s="1" t="s">
        <v>27</v>
      </c>
      <c r="AE13" s="1"/>
      <c r="AF13" s="1">
        <v>31</v>
      </c>
      <c r="AG13" s="2">
        <f t="shared" si="2"/>
        <v>744</v>
      </c>
      <c r="AH13" s="1" t="s">
        <v>58</v>
      </c>
    </row>
    <row r="14" spans="1:34" x14ac:dyDescent="0.25">
      <c r="A14" s="1" t="s">
        <v>66</v>
      </c>
      <c r="B14" s="1" t="s">
        <v>66</v>
      </c>
      <c r="C14" s="1"/>
      <c r="D14" s="1" t="s">
        <v>40</v>
      </c>
      <c r="E14" s="1" t="s">
        <v>20</v>
      </c>
      <c r="F14" s="1" t="s">
        <v>40</v>
      </c>
      <c r="G14" s="1" t="s">
        <v>29</v>
      </c>
      <c r="H14" s="1"/>
      <c r="I14" s="1">
        <v>0</v>
      </c>
      <c r="J14" s="1">
        <v>0.3</v>
      </c>
      <c r="K14" s="1">
        <v>3</v>
      </c>
      <c r="L14" s="1">
        <v>10</v>
      </c>
      <c r="M14" s="1" t="s">
        <v>40</v>
      </c>
      <c r="N14" s="1" t="s">
        <v>40</v>
      </c>
      <c r="O14" s="1" t="s">
        <v>24</v>
      </c>
      <c r="P14" s="1">
        <v>24</v>
      </c>
      <c r="Q14" s="1">
        <v>24</v>
      </c>
      <c r="R14" s="2">
        <f>Table1[[#This Row],[Exposure_duration_hr]]/Table1[[#This Row],[tau_hr]]</f>
        <v>43</v>
      </c>
      <c r="S14" s="1"/>
      <c r="T14" s="1">
        <v>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56</v>
      </c>
      <c r="AA14" s="1" t="s">
        <v>48</v>
      </c>
      <c r="AB14" s="2">
        <f>Table1[[#This Row],[Exposure_duration_hr]]+24</f>
        <v>1056</v>
      </c>
      <c r="AC14" s="1"/>
      <c r="AD14" s="1" t="s">
        <v>27</v>
      </c>
      <c r="AE14" s="1"/>
      <c r="AF14" s="1">
        <v>43</v>
      </c>
      <c r="AG14" s="2">
        <f t="shared" si="2"/>
        <v>1032</v>
      </c>
      <c r="AH14" s="1" t="s">
        <v>58</v>
      </c>
    </row>
    <row r="15" spans="1:34" x14ac:dyDescent="0.25">
      <c r="A15" s="1" t="s">
        <v>68</v>
      </c>
      <c r="B15" s="1" t="s">
        <v>68</v>
      </c>
      <c r="C15" s="1"/>
      <c r="D15" s="1" t="s">
        <v>40</v>
      </c>
      <c r="E15" s="1" t="s">
        <v>20</v>
      </c>
      <c r="F15" s="1"/>
      <c r="G15" s="1" t="s">
        <v>29</v>
      </c>
      <c r="H15" s="1"/>
      <c r="I15" s="1">
        <v>0</v>
      </c>
      <c r="J15" s="1">
        <v>5</v>
      </c>
      <c r="K15" s="1">
        <v>50</v>
      </c>
      <c r="L15" s="1"/>
      <c r="M15" s="1"/>
      <c r="N15" s="1"/>
      <c r="O15" s="1" t="s">
        <v>24</v>
      </c>
      <c r="P15" s="1">
        <v>24</v>
      </c>
      <c r="Q15" s="2">
        <f>P15</f>
        <v>24</v>
      </c>
      <c r="R15" s="2">
        <f>Table1[[#This Row],[Exposure_duration_hr]]/Table1[[#This Row],[tau_hr]]</f>
        <v>28</v>
      </c>
      <c r="S15" s="1"/>
      <c r="T15" s="1">
        <v>0</v>
      </c>
      <c r="U15" s="1" t="s">
        <v>40</v>
      </c>
      <c r="V15" s="1" t="s">
        <v>40</v>
      </c>
      <c r="W15" s="1" t="s">
        <v>40</v>
      </c>
      <c r="X15" s="1" t="s">
        <v>40</v>
      </c>
      <c r="Y15" s="1" t="s">
        <v>40</v>
      </c>
      <c r="Z15" s="1" t="s">
        <v>56</v>
      </c>
      <c r="AA15" s="1" t="s">
        <v>48</v>
      </c>
      <c r="AB15" s="2">
        <f>Table1[[#This Row],[Exposure_duration_hr]]+24</f>
        <v>696</v>
      </c>
      <c r="AC15" s="1"/>
      <c r="AD15" s="1" t="s">
        <v>27</v>
      </c>
      <c r="AE15" s="1"/>
      <c r="AF15" s="1">
        <v>28</v>
      </c>
      <c r="AG15" s="2">
        <f t="shared" si="2"/>
        <v>672</v>
      </c>
      <c r="AH15" s="1" t="s">
        <v>58</v>
      </c>
    </row>
    <row r="16" spans="1:34" x14ac:dyDescent="0.25">
      <c r="A16" s="1" t="s">
        <v>68</v>
      </c>
      <c r="B16" s="1" t="s">
        <v>68</v>
      </c>
      <c r="C16" s="1"/>
      <c r="D16" s="1" t="s">
        <v>40</v>
      </c>
      <c r="E16" s="1" t="s">
        <v>37</v>
      </c>
      <c r="F16" s="1"/>
      <c r="G16" s="1" t="s">
        <v>29</v>
      </c>
      <c r="H16" s="1"/>
      <c r="I16" s="1">
        <v>0</v>
      </c>
      <c r="J16" s="1">
        <v>17</v>
      </c>
      <c r="K16" s="1" t="s">
        <v>40</v>
      </c>
      <c r="L16" s="1"/>
      <c r="M16" s="1"/>
      <c r="N16" s="1"/>
      <c r="O16" s="1" t="s">
        <v>24</v>
      </c>
      <c r="P16" s="1">
        <v>24</v>
      </c>
      <c r="Q16" s="2">
        <f>P16</f>
        <v>24</v>
      </c>
      <c r="R16" s="2" t="e">
        <f>Table1[[#This Row],[Exposure_duration_hr]]/Table1[[#This Row],[tau_hr]]</f>
        <v>#VALUE!</v>
      </c>
      <c r="S16" s="1"/>
      <c r="T16" s="1">
        <v>0</v>
      </c>
      <c r="U16" s="1" t="s">
        <v>40</v>
      </c>
      <c r="V16" s="1" t="s">
        <v>40</v>
      </c>
      <c r="W16" s="1" t="s">
        <v>40</v>
      </c>
      <c r="X16" s="1" t="s">
        <v>40</v>
      </c>
      <c r="Y16" s="1" t="s">
        <v>40</v>
      </c>
      <c r="Z16" s="1" t="s">
        <v>56</v>
      </c>
      <c r="AA16" s="1" t="s">
        <v>48</v>
      </c>
      <c r="AB16" s="3">
        <f>AG16+24</f>
        <v>504</v>
      </c>
      <c r="AC16" s="1"/>
      <c r="AD16" s="1" t="s">
        <v>27</v>
      </c>
      <c r="AE16" s="1"/>
      <c r="AF16" s="1">
        <v>20</v>
      </c>
      <c r="AG16" s="2">
        <f t="shared" si="2"/>
        <v>480</v>
      </c>
      <c r="AH16" s="5" t="s">
        <v>58</v>
      </c>
    </row>
    <row r="17" spans="1:34" x14ac:dyDescent="0.25">
      <c r="A17" t="s">
        <v>69</v>
      </c>
      <c r="B17" t="s">
        <v>69</v>
      </c>
      <c r="D17" t="s">
        <v>40</v>
      </c>
      <c r="E17" t="s">
        <v>37</v>
      </c>
      <c r="G17" t="s">
        <v>29</v>
      </c>
      <c r="I17">
        <v>0</v>
      </c>
      <c r="J17">
        <v>17</v>
      </c>
      <c r="K17" t="s">
        <v>40</v>
      </c>
      <c r="O17" s="1" t="s">
        <v>24</v>
      </c>
      <c r="P17" s="4">
        <v>24</v>
      </c>
      <c r="Q17" s="3">
        <f>P17</f>
        <v>24</v>
      </c>
      <c r="R17" s="3" t="e">
        <f>Table1[[#This Row],[Exposure_duration_hr]]/Table1[[#This Row],[tau_hr]]</f>
        <v>#VALUE!</v>
      </c>
      <c r="S17" s="4"/>
      <c r="T17" s="4">
        <v>0</v>
      </c>
      <c r="U17" s="4" t="s">
        <v>40</v>
      </c>
      <c r="V17" s="4" t="s">
        <v>40</v>
      </c>
      <c r="W17" s="4" t="s">
        <v>40</v>
      </c>
      <c r="X17" s="4" t="s">
        <v>40</v>
      </c>
      <c r="Y17" s="4" t="s">
        <v>40</v>
      </c>
      <c r="Z17" s="4" t="s">
        <v>56</v>
      </c>
      <c r="AA17" s="4" t="s">
        <v>48</v>
      </c>
      <c r="AB17" s="3" t="e">
        <f>Table1[[#This Row],[Exposure_duration_hr]]+24</f>
        <v>#VALUE!</v>
      </c>
      <c r="AC17" s="4"/>
      <c r="AD17" s="4" t="s">
        <v>27</v>
      </c>
      <c r="AE17" s="4"/>
      <c r="AF17" s="4">
        <v>28</v>
      </c>
      <c r="AG17" s="3">
        <f t="shared" si="2"/>
        <v>672</v>
      </c>
      <c r="AH17" s="5" t="s">
        <v>58</v>
      </c>
    </row>
    <row r="18" spans="1:34" x14ac:dyDescent="0.25">
      <c r="A18" t="s">
        <v>69</v>
      </c>
      <c r="B18" t="s">
        <v>69</v>
      </c>
      <c r="D18" t="s">
        <v>40</v>
      </c>
      <c r="E18" t="s">
        <v>37</v>
      </c>
      <c r="G18" t="s">
        <v>22</v>
      </c>
      <c r="I18">
        <v>0</v>
      </c>
      <c r="J18">
        <v>17</v>
      </c>
      <c r="K18" t="s">
        <v>40</v>
      </c>
      <c r="O18" s="1" t="s">
        <v>24</v>
      </c>
      <c r="P18" s="4">
        <v>24</v>
      </c>
      <c r="Q18" s="3">
        <f>P18</f>
        <v>24</v>
      </c>
      <c r="R18" s="3" t="e">
        <f>Table1[[#This Row],[Exposure_duration_hr]]/Table1[[#This Row],[tau_hr]]</f>
        <v>#VALUE!</v>
      </c>
      <c r="S18" s="4"/>
      <c r="T18" s="4">
        <v>0</v>
      </c>
      <c r="U18" s="4" t="s">
        <v>40</v>
      </c>
      <c r="V18" s="4" t="s">
        <v>40</v>
      </c>
      <c r="W18" s="4" t="s">
        <v>40</v>
      </c>
      <c r="X18" s="4" t="s">
        <v>40</v>
      </c>
      <c r="Y18" s="4" t="s">
        <v>40</v>
      </c>
      <c r="Z18" s="4" t="s">
        <v>56</v>
      </c>
      <c r="AA18" s="4" t="s">
        <v>48</v>
      </c>
      <c r="AB18" s="3" t="e">
        <f>Table1[[#This Row],[Exposure_duration_hr]]+24</f>
        <v>#VALUE!</v>
      </c>
      <c r="AC18" s="4"/>
      <c r="AD18" s="4" t="s">
        <v>27</v>
      </c>
      <c r="AE18" s="4"/>
      <c r="AF18" s="4">
        <v>28</v>
      </c>
      <c r="AG18" s="3">
        <f t="shared" si="2"/>
        <v>672</v>
      </c>
      <c r="AH18" s="5" t="s">
        <v>58</v>
      </c>
    </row>
    <row r="19" spans="1:34" x14ac:dyDescent="0.25">
      <c r="A19" t="s">
        <v>69</v>
      </c>
      <c r="B19" t="s">
        <v>69</v>
      </c>
      <c r="D19" t="s">
        <v>40</v>
      </c>
      <c r="E19" t="s">
        <v>20</v>
      </c>
      <c r="G19" t="s">
        <v>29</v>
      </c>
      <c r="I19">
        <v>0</v>
      </c>
      <c r="J19">
        <v>17</v>
      </c>
      <c r="K19" t="s">
        <v>40</v>
      </c>
      <c r="O19" s="1" t="s">
        <v>24</v>
      </c>
      <c r="P19" s="4">
        <v>24</v>
      </c>
      <c r="Q19" s="3">
        <f>P19</f>
        <v>24</v>
      </c>
      <c r="R19" s="3" t="e">
        <f>Table1[[#This Row],[Exposure_duration_hr]]/Table1[[#This Row],[tau_hr]]</f>
        <v>#VALUE!</v>
      </c>
      <c r="S19" s="4"/>
      <c r="T19" s="4">
        <v>0</v>
      </c>
      <c r="U19" s="4" t="s">
        <v>40</v>
      </c>
      <c r="V19" s="4" t="s">
        <v>40</v>
      </c>
      <c r="W19" s="4" t="s">
        <v>40</v>
      </c>
      <c r="X19" s="4" t="s">
        <v>40</v>
      </c>
      <c r="Y19" s="4" t="s">
        <v>40</v>
      </c>
      <c r="Z19" s="4" t="s">
        <v>56</v>
      </c>
      <c r="AA19" s="4" t="s">
        <v>48</v>
      </c>
      <c r="AB19" s="3" t="e">
        <f>Table1[[#This Row],[Exposure_duration_hr]]+24</f>
        <v>#VALUE!</v>
      </c>
      <c r="AC19" s="4"/>
      <c r="AD19" s="4" t="s">
        <v>27</v>
      </c>
      <c r="AE19" s="4"/>
      <c r="AF19" s="4">
        <v>28</v>
      </c>
      <c r="AG19" s="3">
        <f t="shared" si="2"/>
        <v>672</v>
      </c>
      <c r="AH19" s="5" t="s">
        <v>58</v>
      </c>
    </row>
    <row r="20" spans="1:34" x14ac:dyDescent="0.25">
      <c r="A20" t="s">
        <v>69</v>
      </c>
      <c r="B20" t="s">
        <v>69</v>
      </c>
      <c r="D20" t="s">
        <v>40</v>
      </c>
      <c r="E20" t="s">
        <v>20</v>
      </c>
      <c r="G20" t="s">
        <v>22</v>
      </c>
      <c r="I20">
        <v>0</v>
      </c>
      <c r="J20">
        <v>17</v>
      </c>
      <c r="K20" t="s">
        <v>40</v>
      </c>
      <c r="O20" s="1" t="s">
        <v>24</v>
      </c>
      <c r="P20" s="4">
        <v>24</v>
      </c>
      <c r="Q20" s="3">
        <f>P20</f>
        <v>24</v>
      </c>
      <c r="R20" s="3" t="e">
        <f>Table1[[#This Row],[Exposure_duration_hr]]/Table1[[#This Row],[tau_hr]]</f>
        <v>#VALUE!</v>
      </c>
      <c r="S20" s="4"/>
      <c r="T20" s="4">
        <v>0</v>
      </c>
      <c r="U20" s="4" t="s">
        <v>40</v>
      </c>
      <c r="V20" s="4" t="s">
        <v>40</v>
      </c>
      <c r="W20" s="4" t="s">
        <v>40</v>
      </c>
      <c r="X20" s="4" t="s">
        <v>40</v>
      </c>
      <c r="Y20" s="4" t="s">
        <v>40</v>
      </c>
      <c r="Z20" s="4" t="s">
        <v>56</v>
      </c>
      <c r="AA20" s="4" t="s">
        <v>48</v>
      </c>
      <c r="AB20" s="3" t="e">
        <f>Table1[[#This Row],[Exposure_duration_hr]]+24</f>
        <v>#VALUE!</v>
      </c>
      <c r="AC20" s="4"/>
      <c r="AD20" s="4" t="s">
        <v>27</v>
      </c>
      <c r="AE20" s="4"/>
      <c r="AF20" s="4">
        <v>28</v>
      </c>
      <c r="AG20" s="3">
        <f t="shared" si="2"/>
        <v>672</v>
      </c>
      <c r="AH20" s="5" t="s">
        <v>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2024-09-30T20:10:43Z</dcterms:created>
  <dcterms:modified xsi:type="dcterms:W3CDTF">2025-02-06T01:45:04Z</dcterms:modified>
</cp:coreProperties>
</file>