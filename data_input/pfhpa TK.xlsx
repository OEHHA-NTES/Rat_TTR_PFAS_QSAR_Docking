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/PFHpA/input/data/"/>
    </mc:Choice>
  </mc:AlternateContent>
  <xr:revisionPtr revIDLastSave="168" documentId="8_{EB92B5BA-D025-4AE3-A644-6EDC8E4D34AA}" xr6:coauthVersionLast="47" xr6:coauthVersionMax="47" xr10:uidLastSave="{9647AAE1-C2C6-4819-A660-33A8AE3A234A}"/>
  <bookViews>
    <workbookView xWindow="49170" yWindow="-4155" windowWidth="19440" windowHeight="15000" activeTab="2" xr2:uid="{00000000-000D-0000-FFFF-FFFF00000000}"/>
  </bookViews>
  <sheets>
    <sheet name="InvivoTK" sheetId="1" r:id="rId1"/>
    <sheet name="calculations" sheetId="2" r:id="rId2"/>
    <sheet name="tidy_data" sheetId="3" r:id="rId3"/>
    <sheet name="PBP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B13" i="4"/>
  <c r="C10" i="4"/>
  <c r="B10" i="4"/>
  <c r="C7" i="4"/>
  <c r="B35" i="4"/>
  <c r="B36" i="4" s="1"/>
  <c r="B28" i="4"/>
  <c r="B29" i="4" s="1"/>
  <c r="B51" i="4"/>
  <c r="B45" i="4"/>
  <c r="B7" i="4"/>
  <c r="R113" i="2"/>
  <c r="R114" i="2" s="1"/>
  <c r="R115" i="2" s="1"/>
  <c r="R116" i="2" s="1"/>
  <c r="R106" i="2"/>
  <c r="R107" i="2" s="1"/>
  <c r="R108" i="2" s="1"/>
  <c r="R109" i="2" s="1"/>
  <c r="R99" i="2"/>
  <c r="R100" i="2" s="1"/>
  <c r="R101" i="2" s="1"/>
  <c r="R102" i="2" s="1"/>
  <c r="R92" i="2"/>
  <c r="R93" i="2" s="1"/>
  <c r="R94" i="2" s="1"/>
  <c r="R95" i="2" s="1"/>
  <c r="R85" i="2"/>
  <c r="R86" i="2" s="1"/>
  <c r="R87" i="2" s="1"/>
  <c r="R88" i="2" s="1"/>
  <c r="R78" i="2"/>
  <c r="R79" i="2" s="1"/>
  <c r="R80" i="2" s="1"/>
  <c r="R81" i="2" s="1"/>
  <c r="R71" i="2"/>
  <c r="R72" i="2" s="1"/>
  <c r="R73" i="2" s="1"/>
  <c r="R74" i="2" s="1"/>
  <c r="R64" i="2"/>
  <c r="R65" i="2" s="1"/>
  <c r="R66" i="2" s="1"/>
  <c r="R67" i="2" s="1"/>
  <c r="R57" i="2"/>
  <c r="R58" i="2" s="1"/>
  <c r="R59" i="2" s="1"/>
  <c r="R60" i="2" s="1"/>
  <c r="R50" i="2"/>
  <c r="R51" i="2" s="1"/>
  <c r="R52" i="2" s="1"/>
  <c r="R53" i="2" s="1"/>
  <c r="R43" i="2"/>
  <c r="R44" i="2" s="1"/>
  <c r="R45" i="2" s="1"/>
  <c r="R46" i="2" s="1"/>
  <c r="R36" i="2"/>
  <c r="R37" i="2" s="1"/>
  <c r="R38" i="2" s="1"/>
  <c r="R39" i="2" s="1"/>
  <c r="R18" i="2"/>
  <c r="R17" i="2"/>
  <c r="R16" i="2"/>
  <c r="R15" i="2"/>
  <c r="R29" i="2"/>
  <c r="R30" i="2" s="1"/>
  <c r="R31" i="2" s="1"/>
  <c r="R32" i="2" s="1"/>
  <c r="R22" i="2"/>
  <c r="R23" i="2" s="1"/>
  <c r="R24" i="2" s="1"/>
  <c r="R25" i="2" s="1"/>
  <c r="W18" i="2"/>
  <c r="W16" i="2"/>
  <c r="V12" i="2"/>
  <c r="V10" i="2"/>
  <c r="V8" i="2" a="1"/>
  <c r="V8" i="2" s="1"/>
  <c r="W7" i="2"/>
  <c r="R5" i="2"/>
  <c r="R2" i="2"/>
  <c r="R8" i="2" s="1"/>
  <c r="I4" i="2"/>
  <c r="I7" i="2"/>
  <c r="I6" i="2"/>
  <c r="I5" i="2"/>
  <c r="A1" i="2"/>
  <c r="A2" i="2" s="1"/>
  <c r="A3" i="2" s="1"/>
  <c r="B39" i="4" l="1"/>
  <c r="B38" i="4"/>
  <c r="I8" i="2"/>
  <c r="I11" i="2" s="1"/>
  <c r="R10" i="2"/>
  <c r="R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<sst xmlns="http://schemas.openxmlformats.org/spreadsheetml/2006/main" count="4100" uniqueCount="382">
  <si>
    <t>record_id</t>
  </si>
  <si>
    <t>species_name</t>
  </si>
  <si>
    <t>tissue</t>
  </si>
  <si>
    <t>route</t>
  </si>
  <si>
    <t>standard_endpoint</t>
  </si>
  <si>
    <t>standard_value</t>
  </si>
  <si>
    <t>standard_unit</t>
  </si>
  <si>
    <t>note_exp</t>
  </si>
  <si>
    <t>ARC_confidence_score</t>
  </si>
  <si>
    <t>record_note</t>
  </si>
  <si>
    <t>pubmed_id</t>
  </si>
  <si>
    <t>doi</t>
  </si>
  <si>
    <t>authors</t>
  </si>
  <si>
    <t>year</t>
  </si>
  <si>
    <t>source</t>
  </si>
  <si>
    <t>invivo_conditions_id</t>
  </si>
  <si>
    <t>original_entry_id</t>
  </si>
  <si>
    <t>conditions_notes</t>
  </si>
  <si>
    <t>MW</t>
  </si>
  <si>
    <t>MW_confid</t>
  </si>
  <si>
    <t>stereochemistry</t>
  </si>
  <si>
    <t>administered_substance</t>
  </si>
  <si>
    <t>MW_administered</t>
  </si>
  <si>
    <t>parent_or_metabolite</t>
  </si>
  <si>
    <t>sample_size</t>
  </si>
  <si>
    <t>sample_size_confid</t>
  </si>
  <si>
    <t>n_time_points</t>
  </si>
  <si>
    <t>time_points_confid</t>
  </si>
  <si>
    <t>chemical_purity</t>
  </si>
  <si>
    <t>chemical_purity_note</t>
  </si>
  <si>
    <t>units_clarity</t>
  </si>
  <si>
    <t>strain</t>
  </si>
  <si>
    <t>strain_confid</t>
  </si>
  <si>
    <t>age</t>
  </si>
  <si>
    <t>age_stage</t>
  </si>
  <si>
    <t>age_confid</t>
  </si>
  <si>
    <t>sex</t>
  </si>
  <si>
    <t>sex_confid</t>
  </si>
  <si>
    <t>health_status</t>
  </si>
  <si>
    <t>dietary_status</t>
  </si>
  <si>
    <t>BW_reported</t>
  </si>
  <si>
    <t>BW_notes</t>
  </si>
  <si>
    <t>BW_std_kg</t>
  </si>
  <si>
    <t>BW_confid</t>
  </si>
  <si>
    <t>dose_reported</t>
  </si>
  <si>
    <t>dose_reported_units</t>
  </si>
  <si>
    <t>dose_note</t>
  </si>
  <si>
    <t>dose_std</t>
  </si>
  <si>
    <t>dose_std_units</t>
  </si>
  <si>
    <t>dose_std_note</t>
  </si>
  <si>
    <t>dose_confid</t>
  </si>
  <si>
    <t>route..52</t>
  </si>
  <si>
    <t>route_desc</t>
  </si>
  <si>
    <t>route_confid</t>
  </si>
  <si>
    <t>route_direct</t>
  </si>
  <si>
    <t>duration_reported</t>
  </si>
  <si>
    <t>duration_units_reported</t>
  </si>
  <si>
    <t>duration_std_h</t>
  </si>
  <si>
    <t>stage_in_chronic_study</t>
  </si>
  <si>
    <t>duration_confid</t>
  </si>
  <si>
    <t>dosing_volume_reported</t>
  </si>
  <si>
    <t>dosing_units_reported</t>
  </si>
  <si>
    <t>dosing_volume_std</t>
  </si>
  <si>
    <t>dosing_units_std</t>
  </si>
  <si>
    <t>dosing_confid</t>
  </si>
  <si>
    <t>dosing_frequency</t>
  </si>
  <si>
    <t>dosing_frequency_confid</t>
  </si>
  <si>
    <t>tissue..68</t>
  </si>
  <si>
    <t>tissue_confid</t>
  </si>
  <si>
    <t>vehicule_used</t>
  </si>
  <si>
    <t>vehicule_concentration</t>
  </si>
  <si>
    <t>co_exposure</t>
  </si>
  <si>
    <t>vehicule_confid</t>
  </si>
  <si>
    <t>control_group_used</t>
  </si>
  <si>
    <t>toxicity_notes</t>
  </si>
  <si>
    <t>signs_of_toxicity</t>
  </si>
  <si>
    <t>pharmacokinetic_model_used</t>
  </si>
  <si>
    <t>modelling_notes</t>
  </si>
  <si>
    <t>pharmacokinetic_model_confid</t>
  </si>
  <si>
    <t>clearance</t>
  </si>
  <si>
    <t>rate_of_elimination</t>
  </si>
  <si>
    <t>half_life</t>
  </si>
  <si>
    <t>AUC</t>
  </si>
  <si>
    <t>bioavailability</t>
  </si>
  <si>
    <t>Cmax_C0</t>
  </si>
  <si>
    <t>MRT_MAT_Tmax</t>
  </si>
  <si>
    <t>hybrid_constants</t>
  </si>
  <si>
    <t>intercepts</t>
  </si>
  <si>
    <t>volume_of_distribution</t>
  </si>
  <si>
    <t>rate_of_absorption</t>
  </si>
  <si>
    <t>publication</t>
  </si>
  <si>
    <t>detection_method</t>
  </si>
  <si>
    <t>radiolabelled_administered</t>
  </si>
  <si>
    <t>total_radioactivity</t>
  </si>
  <si>
    <t>radiolabelled_note</t>
  </si>
  <si>
    <t>QC1_Parent_Metabolite</t>
  </si>
  <si>
    <t>QC2_Sample_size</t>
  </si>
  <si>
    <t>QC3_Time_points</t>
  </si>
  <si>
    <t>QC4_Chemical_purity</t>
  </si>
  <si>
    <t>QC5_Units</t>
  </si>
  <si>
    <t>QC6_Biological_information</t>
  </si>
  <si>
    <t>QC7_Body_weight</t>
  </si>
  <si>
    <t>QC8_Dose</t>
  </si>
  <si>
    <t>QC9_Dosing</t>
  </si>
  <si>
    <t>QC10_Dosing_frequency</t>
  </si>
  <si>
    <t>QC11_Route_of_administration</t>
  </si>
  <si>
    <t>QC12_Test_duration</t>
  </si>
  <si>
    <t>QC13_Tissue_tested</t>
  </si>
  <si>
    <t>QC14_Vehicle_used</t>
  </si>
  <si>
    <t>QC15_Control</t>
  </si>
  <si>
    <t>QC16_Indication_of_Toxicity</t>
  </si>
  <si>
    <t>QC17_Pharmacokinetic_model</t>
  </si>
  <si>
    <t>QC18_Clearance</t>
  </si>
  <si>
    <t>QC19_Elimination_Rate</t>
  </si>
  <si>
    <t>QC20_Half_Life</t>
  </si>
  <si>
    <t>QC21_AUC</t>
  </si>
  <si>
    <t>QC22_Bioavailability</t>
  </si>
  <si>
    <t>QC23_Cmax_C0</t>
  </si>
  <si>
    <t>QC24_MRT_MAT_Tmax</t>
  </si>
  <si>
    <t>QC25_Hybrid_constants</t>
  </si>
  <si>
    <t>QC26_Intercepts</t>
  </si>
  <si>
    <t>QC27_Volume_of_distribution</t>
  </si>
  <si>
    <t>QC28_Absorption_Rate</t>
  </si>
  <si>
    <t>QC29_Publication</t>
  </si>
  <si>
    <t>CriticalFail</t>
  </si>
  <si>
    <t>MaxPossible</t>
  </si>
  <si>
    <t>TotAbsScore</t>
  </si>
  <si>
    <t>TotRelScore</t>
  </si>
  <si>
    <t>Binning</t>
  </si>
  <si>
    <t>record_id..130</t>
  </si>
  <si>
    <t>created_date</t>
  </si>
  <si>
    <t>last_modified</t>
  </si>
  <si>
    <t>Rat</t>
  </si>
  <si>
    <t>Plasma</t>
  </si>
  <si>
    <t>Inhalation</t>
  </si>
  <si>
    <t>AUC_t</t>
  </si>
  <si>
    <t>g L-1 h</t>
  </si>
  <si>
    <t>10.1016/j.tox.2011.11.005</t>
  </si>
  <si>
    <t>Himmelstein</t>
  </si>
  <si>
    <t>Literature</t>
  </si>
  <si>
    <t>Reported</t>
  </si>
  <si>
    <t>8:2 FTOH</t>
  </si>
  <si>
    <t>Metabolite</t>
  </si>
  <si>
    <t>4 to 5</t>
  </si>
  <si>
    <t>High</t>
  </si>
  <si>
    <t>Low</t>
  </si>
  <si>
    <t>Sprague-Dawley</t>
  </si>
  <si>
    <t>Assumed to be ADULT</t>
  </si>
  <si>
    <t>Assumed</t>
  </si>
  <si>
    <t>M</t>
  </si>
  <si>
    <t>healthy</t>
  </si>
  <si>
    <t>water and food ad libitum</t>
  </si>
  <si>
    <t>260 Ã‚Â± 8g</t>
  </si>
  <si>
    <t>Reported as a mean</t>
  </si>
  <si>
    <t>mg/m3</t>
  </si>
  <si>
    <t>mg/kg</t>
  </si>
  <si>
    <t>h</t>
  </si>
  <si>
    <t>L/min for 6 hours</t>
  </si>
  <si>
    <t>mL</t>
  </si>
  <si>
    <t>single</t>
  </si>
  <si>
    <t>dilution air</t>
  </si>
  <si>
    <t>No fatalities; No signs of systemic toxicity</t>
  </si>
  <si>
    <t>one-compartment model</t>
  </si>
  <si>
    <t>to time</t>
  </si>
  <si>
    <t>Available</t>
  </si>
  <si>
    <t>LC-MS/MS - Liquid chromatography Tandem Mass Spectrometer</t>
  </si>
  <si>
    <t>2022-03-02T18:03:31Z</t>
  </si>
  <si>
    <t>2022-03-25T13:57:31Z</t>
  </si>
  <si>
    <t>258 Ã‚Â± 8g</t>
  </si>
  <si>
    <t>2022-03-02T18:03:33Z</t>
  </si>
  <si>
    <t>F</t>
  </si>
  <si>
    <t>194 Ã‚Â± 4g</t>
  </si>
  <si>
    <t>2022-03-02T18:03:34Z</t>
  </si>
  <si>
    <t>Intravenous</t>
  </si>
  <si>
    <t>CL</t>
  </si>
  <si>
    <t>mL h-1 kg-1</t>
  </si>
  <si>
    <t>Ohmori</t>
  </si>
  <si>
    <t>Calculated</t>
  </si>
  <si>
    <t>PFHA - perfluoroheptanoic acid</t>
  </si>
  <si>
    <t>Parent</t>
  </si>
  <si>
    <t>Medium</t>
  </si>
  <si>
    <t>Not reported</t>
  </si>
  <si>
    <t>Wistar</t>
  </si>
  <si>
    <t>Assumed Low Confidence</t>
  </si>
  <si>
    <t>umol/kg</t>
  </si>
  <si>
    <t>days</t>
  </si>
  <si>
    <t>mL/kg</t>
  </si>
  <si>
    <t>rat serum and NaOH</t>
  </si>
  <si>
    <t>Two-compartment model</t>
  </si>
  <si>
    <t>open model</t>
  </si>
  <si>
    <t>HPLC/Fluorescence Detector</t>
  </si>
  <si>
    <t>2022-03-02T18:03:30Z</t>
  </si>
  <si>
    <t>Blood</t>
  </si>
  <si>
    <t>Intragastric</t>
  </si>
  <si>
    <t>Cmax</t>
  </si>
  <si>
    <t>ng g-1</t>
  </si>
  <si>
    <t>D'eon</t>
  </si>
  <si>
    <t>ARC Rodent in vivo Biotransformation Database post JRC v16</t>
  </si>
  <si>
    <t>6:2 diPAP (polyfluorolkyl phosphate diesters) mixture</t>
  </si>
  <si>
    <t>Sprague-Dawley SD</t>
  </si>
  <si>
    <t>8 weeks old</t>
  </si>
  <si>
    <t>ADULT</t>
  </si>
  <si>
    <t>Not Reported; standardized body weight assigned</t>
  </si>
  <si>
    <t>mg/kg bw</t>
  </si>
  <si>
    <t>g kg_bw-1</t>
  </si>
  <si>
    <t>gavage</t>
  </si>
  <si>
    <t>mL kg_bw-1</t>
  </si>
  <si>
    <t>propylene glycol:water with 0.1% soy lecithin</t>
  </si>
  <si>
    <t>No signs of toxicity</t>
  </si>
  <si>
    <t>2021-04-20T13:29:45Z</t>
  </si>
  <si>
    <t>2021-05-10T14:41:58Z</t>
  </si>
  <si>
    <t>6:2 monoPAP (polyfluorolkyl phosphate monoester) mixture</t>
  </si>
  <si>
    <t>propylene glycol:water</t>
  </si>
  <si>
    <t>2021-04-20T13:29:47Z</t>
  </si>
  <si>
    <t>8:2 monoPAPS</t>
  </si>
  <si>
    <t>food and water ad libitum; no fasting</t>
  </si>
  <si>
    <t>aqueous methylcellullose</t>
  </si>
  <si>
    <t>No fatalities; No signs of clinical toxicity</t>
  </si>
  <si>
    <t>LC-MS/MS - Liquid chromatography Negative Electrospray Ionization Tandem Mass Spectrometer</t>
  </si>
  <si>
    <t>2022-03-02T18:03:52Z</t>
  </si>
  <si>
    <t>HL_beta</t>
  </si>
  <si>
    <t>HLe_invivo</t>
  </si>
  <si>
    <t>Russell</t>
  </si>
  <si>
    <t>6:2 Fluorotelomer alchohl (FTOH)</t>
  </si>
  <si>
    <t>ppm</t>
  </si>
  <si>
    <t>2021-04-20T13:29:50Z</t>
  </si>
  <si>
    <t>2021-04-20T13:29:51Z</t>
  </si>
  <si>
    <t>MAMATKDB_v1</t>
  </si>
  <si>
    <t>It is unclear if the dose is 48.64 Âµmol/kg bw or 48.64 mmol/kg bw (both ways are written).</t>
  </si>
  <si>
    <t>3 d follow-up</t>
  </si>
  <si>
    <t>Single</t>
  </si>
  <si>
    <t>rat serum</t>
  </si>
  <si>
    <t>2023-07-17T23:37:30Z</t>
  </si>
  <si>
    <t>2023-07-17T23:37:31Z</t>
  </si>
  <si>
    <t>HLe_invivo_0.25kg</t>
  </si>
  <si>
    <t>Standardized bw</t>
  </si>
  <si>
    <t>ke_invivo</t>
  </si>
  <si>
    <t>h-1</t>
  </si>
  <si>
    <t>Calculated HL</t>
  </si>
  <si>
    <t>Tmax</t>
  </si>
  <si>
    <t>VDss</t>
  </si>
  <si>
    <t>L kg-1</t>
  </si>
  <si>
    <t>Pig</t>
  </si>
  <si>
    <t>Serum</t>
  </si>
  <si>
    <t>Oral</t>
  </si>
  <si>
    <t>Numata</t>
  </si>
  <si>
    <t>Fattening German Landrace. Females, barrows and boars.</t>
  </si>
  <si>
    <t>MF</t>
  </si>
  <si>
    <t>10.2 Â± 1.7 Âµg/kg in food</t>
  </si>
  <si>
    <t>3 weeks administration (daily), 21 d follow-up</t>
  </si>
  <si>
    <t>Repeated</t>
  </si>
  <si>
    <t>food pellets</t>
  </si>
  <si>
    <t>2 Compartment</t>
  </si>
  <si>
    <t>First-order</t>
  </si>
  <si>
    <t>2023-07-17T23:37:29Z</t>
  </si>
  <si>
    <t>Mouse</t>
  </si>
  <si>
    <t>Reported - std measured MW</t>
  </si>
  <si>
    <t>Fujii</t>
  </si>
  <si>
    <t>Perfluoroheptanoic acid</t>
  </si>
  <si>
    <t>FVB/NJcl</t>
  </si>
  <si>
    <t>8 to 10 weeks</t>
  </si>
  <si>
    <t>20-30g</t>
  </si>
  <si>
    <t>range</t>
  </si>
  <si>
    <t>Assumed High Confidence</t>
  </si>
  <si>
    <t>Ã‚Âµmol/kg</t>
  </si>
  <si>
    <t>Reported - std administred MW</t>
  </si>
  <si>
    <t>ethanol/water/DMSO</t>
  </si>
  <si>
    <t>two-compartment model</t>
  </si>
  <si>
    <t>2021-04-20T13:31:35Z</t>
  </si>
  <si>
    <t>2021-04-20T13:31:36Z</t>
  </si>
  <si>
    <t>2021-04-20T13:31:37Z</t>
  </si>
  <si>
    <t>2021-04-20T13:31:38Z</t>
  </si>
  <si>
    <t>Coefficient_A</t>
  </si>
  <si>
    <t>g L-1</t>
  </si>
  <si>
    <t>Coefficient_B</t>
  </si>
  <si>
    <t>%</t>
  </si>
  <si>
    <t>Default iv</t>
  </si>
  <si>
    <t>k_alpha</t>
  </si>
  <si>
    <t>k_beta</t>
  </si>
  <si>
    <t>Human</t>
  </si>
  <si>
    <t>Blood/Urine</t>
  </si>
  <si>
    <t>Pollution</t>
  </si>
  <si>
    <t>Zhang</t>
  </si>
  <si>
    <t>Estimated half-lives using the formula T1/2=0.693xV/CLtotal.</t>
  </si>
  <si>
    <t>males and older females</t>
  </si>
  <si>
    <t>Biomonitoring</t>
  </si>
  <si>
    <t>2023-07-17T23:37:27Z</t>
  </si>
  <si>
    <t>Occupational</t>
  </si>
  <si>
    <t>Calculations made by MSCA, values from original study. Well reported study. Laboratory takes part in QA/QC studies (z-scores &lt; 2).</t>
  </si>
  <si>
    <t>ECHA</t>
  </si>
  <si>
    <t>ski wax technicians</t>
  </si>
  <si>
    <t>27-51 y</t>
  </si>
  <si>
    <t>Adult</t>
  </si>
  <si>
    <t>1 year (preseason, season and postseason samples)</t>
  </si>
  <si>
    <t>Continuous</t>
  </si>
  <si>
    <t>young females</t>
  </si>
  <si>
    <t>2023-07-17T23:37:28Z</t>
  </si>
  <si>
    <t>Column1</t>
  </si>
  <si>
    <t>L/hr/kg</t>
  </si>
  <si>
    <t>L</t>
  </si>
  <si>
    <t>ml</t>
  </si>
  <si>
    <t>mL/hr/kg</t>
  </si>
  <si>
    <t>day</t>
  </si>
  <si>
    <t>hr</t>
  </si>
  <si>
    <t>umol*hr/L</t>
  </si>
  <si>
    <t>PFHpA mol weight</t>
  </si>
  <si>
    <t>g/mol</t>
  </si>
  <si>
    <t>kg/g</t>
  </si>
  <si>
    <t>L/mL</t>
  </si>
  <si>
    <t>day/hr</t>
  </si>
  <si>
    <t>mol/umol</t>
  </si>
  <si>
    <t>CL = D/AUC</t>
  </si>
  <si>
    <t>D</t>
  </si>
  <si>
    <t>umol*day/mL</t>
  </si>
  <si>
    <t>mL/kg*day</t>
  </si>
  <si>
    <t>total clearance</t>
  </si>
  <si>
    <t>mL/(kg*day)</t>
  </si>
  <si>
    <t>Vd</t>
  </si>
  <si>
    <t>L/kg</t>
  </si>
  <si>
    <t>L/(kg*day)</t>
  </si>
  <si>
    <t>Kel</t>
  </si>
  <si>
    <t>clearance / Vd</t>
  </si>
  <si>
    <t>Kel =</t>
  </si>
  <si>
    <t>day^-1</t>
  </si>
  <si>
    <t xml:space="preserve">t1/2 = </t>
  </si>
  <si>
    <t>ln(2) / Kel</t>
  </si>
  <si>
    <t>Units</t>
  </si>
  <si>
    <t>Variable</t>
  </si>
  <si>
    <t>Chem</t>
  </si>
  <si>
    <t>PFHPA</t>
  </si>
  <si>
    <t>Species</t>
  </si>
  <si>
    <t>Sex</t>
  </si>
  <si>
    <t>Male</t>
  </si>
  <si>
    <t>Female</t>
  </si>
  <si>
    <t>PFOA</t>
  </si>
  <si>
    <t>k</t>
  </si>
  <si>
    <t>e^-kdT</t>
  </si>
  <si>
    <t>t1_2_day</t>
  </si>
  <si>
    <t>t1_2_hr</t>
  </si>
  <si>
    <t>Vd_L_kg</t>
  </si>
  <si>
    <t>total clearance_L_kgxday</t>
  </si>
  <si>
    <t>total clearance_ml_kgxday</t>
  </si>
  <si>
    <t>Kel_1_day</t>
  </si>
  <si>
    <t>PFNA</t>
  </si>
  <si>
    <t>PFDA</t>
  </si>
  <si>
    <t>PFUnDA</t>
  </si>
  <si>
    <t>PFDoDA</t>
  </si>
  <si>
    <t>PFTrDA</t>
  </si>
  <si>
    <t>PFTeDA</t>
  </si>
  <si>
    <t>Value</t>
  </si>
  <si>
    <t>10.1539/joh.14-0136-OA</t>
  </si>
  <si>
    <t>chem</t>
  </si>
  <si>
    <t>PFDODA</t>
  </si>
  <si>
    <t>PFTEDA</t>
  </si>
  <si>
    <t>PFTRDA</t>
  </si>
  <si>
    <t>PFUNDA</t>
  </si>
  <si>
    <t>Dose</t>
  </si>
  <si>
    <t>Cl</t>
  </si>
  <si>
    <t>Css</t>
  </si>
  <si>
    <t>units</t>
  </si>
  <si>
    <t>mg/kg-body weight</t>
  </si>
  <si>
    <t>fraction</t>
  </si>
  <si>
    <t>L/kg-day</t>
  </si>
  <si>
    <t>mg/L</t>
  </si>
  <si>
    <t>using oral clearance with no adjustment for bioavailability</t>
  </si>
  <si>
    <t>using iv clearance with  adjustment for bioavailability</t>
  </si>
  <si>
    <t>Cl s.d.</t>
  </si>
  <si>
    <t>at +1 sd</t>
  </si>
  <si>
    <t>at -1 sd</t>
  </si>
  <si>
    <t>Css (-1 sd)</t>
  </si>
  <si>
    <t>Css (+1 sd)</t>
  </si>
  <si>
    <t>difference between CSS +- 1 sd</t>
  </si>
  <si>
    <t>MALE MICE</t>
  </si>
  <si>
    <t>FEMALE MICE</t>
  </si>
  <si>
    <t>intragastric</t>
  </si>
  <si>
    <t>intravenous</t>
  </si>
  <si>
    <t>variable</t>
  </si>
  <si>
    <t>species</t>
  </si>
  <si>
    <t>value</t>
  </si>
  <si>
    <t>sd</t>
  </si>
  <si>
    <t>umol/(L*hr)</t>
  </si>
  <si>
    <t>AUC_t_24hr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</si>
</sst>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0" borderId="0" xfId="1" applyNumberFormat="1" applyFont="1"/>
    <xf numFmtId="0" fontId="16" fillId="0" borderId="0" xfId="0" applyFont="1"/>
    <xf numFmtId="0" fontId="0" fillId="0" borderId="0" xfId="0" applyFont="1"/>
    <xf numFmtId="0" fontId="0" fillId="0" borderId="0" xfId="0" applyNumberFormat="1"/>
    <xf numFmtId="2" fontId="0" fillId="0" borderId="0" xfId="0" applyNumberFormat="1"/>
    <xf numFmtId="0" fontId="0" fillId="0" borderId="10" xfId="0" applyFont="1" applyBorder="1"/>
    <xf numFmtId="0" fontId="0" fillId="33" borderId="10" xfId="0" applyFont="1" applyFill="1" applyBorder="1"/>
    <xf numFmtId="0" fontId="0" fillId="0" borderId="11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C62" totalsRowShown="0">
  <autoFilter ref="A1:EC62" xr:uid="{00000000-0009-0000-0100-000001000000}">
    <filterColumn colId="2">
      <filters>
        <filter val="Mouse"/>
        <filter val="Rat"/>
      </filters>
    </filterColumn>
    <filterColumn colId="5">
      <filters>
        <filter val="k_alpha"/>
      </filters>
    </filterColumn>
  </autoFilter>
  <tableColumns count="133">
    <tableColumn id="1" xr3:uid="{00000000-0010-0000-0000-000001000000}" name="Column1"/>
    <tableColumn id="2" xr3:uid="{00000000-0010-0000-0000-000002000000}" name="record_id"/>
    <tableColumn id="3" xr3:uid="{00000000-0010-0000-0000-000003000000}" name="species_name"/>
    <tableColumn id="4" xr3:uid="{00000000-0010-0000-0000-000004000000}" name="tissue"/>
    <tableColumn id="5" xr3:uid="{00000000-0010-0000-0000-000005000000}" name="route"/>
    <tableColumn id="6" xr3:uid="{00000000-0010-0000-0000-000006000000}" name="standard_endpoint"/>
    <tableColumn id="7" xr3:uid="{00000000-0010-0000-0000-000007000000}" name="standard_value" dataDxfId="0"/>
    <tableColumn id="8" xr3:uid="{00000000-0010-0000-0000-000008000000}" name="standard_unit"/>
    <tableColumn id="9" xr3:uid="{00000000-0010-0000-0000-000009000000}" name="note_exp"/>
    <tableColumn id="10" xr3:uid="{00000000-0010-0000-0000-00000A000000}" name="ARC_confidence_score"/>
    <tableColumn id="11" xr3:uid="{00000000-0010-0000-0000-00000B000000}" name="record_note"/>
    <tableColumn id="12" xr3:uid="{00000000-0010-0000-0000-00000C000000}" name="pubmed_id"/>
    <tableColumn id="13" xr3:uid="{00000000-0010-0000-0000-00000D000000}" name="doi"/>
    <tableColumn id="14" xr3:uid="{00000000-0010-0000-0000-00000E000000}" name="authors"/>
    <tableColumn id="15" xr3:uid="{00000000-0010-0000-0000-00000F000000}" name="year"/>
    <tableColumn id="16" xr3:uid="{00000000-0010-0000-0000-000010000000}" name="source"/>
    <tableColumn id="17" xr3:uid="{00000000-0010-0000-0000-000011000000}" name="invivo_conditions_id"/>
    <tableColumn id="18" xr3:uid="{00000000-0010-0000-0000-000012000000}" name="original_entry_id"/>
    <tableColumn id="19" xr3:uid="{00000000-0010-0000-0000-000013000000}" name="conditions_notes"/>
    <tableColumn id="20" xr3:uid="{00000000-0010-0000-0000-000014000000}" name="MW"/>
    <tableColumn id="21" xr3:uid="{00000000-0010-0000-0000-000015000000}" name="MW_confid"/>
    <tableColumn id="22" xr3:uid="{00000000-0010-0000-0000-000016000000}" name="stereochemistry"/>
    <tableColumn id="23" xr3:uid="{00000000-0010-0000-0000-000017000000}" name="administered_substance"/>
    <tableColumn id="24" xr3:uid="{00000000-0010-0000-0000-000018000000}" name="MW_administered"/>
    <tableColumn id="25" xr3:uid="{00000000-0010-0000-0000-000019000000}" name="parent_or_metabolite"/>
    <tableColumn id="26" xr3:uid="{00000000-0010-0000-0000-00001A000000}" name="sample_size"/>
    <tableColumn id="27" xr3:uid="{00000000-0010-0000-0000-00001B000000}" name="sample_size_confid"/>
    <tableColumn id="28" xr3:uid="{00000000-0010-0000-0000-00001C000000}" name="n_time_points"/>
    <tableColumn id="29" xr3:uid="{00000000-0010-0000-0000-00001D000000}" name="time_points_confid"/>
    <tableColumn id="30" xr3:uid="{00000000-0010-0000-0000-00001E000000}" name="chemical_purity"/>
    <tableColumn id="31" xr3:uid="{00000000-0010-0000-0000-00001F000000}" name="chemical_purity_note"/>
    <tableColumn id="32" xr3:uid="{00000000-0010-0000-0000-000020000000}" name="units_clarity"/>
    <tableColumn id="33" xr3:uid="{00000000-0010-0000-0000-000021000000}" name="strain"/>
    <tableColumn id="34" xr3:uid="{00000000-0010-0000-0000-000022000000}" name="strain_confid"/>
    <tableColumn id="35" xr3:uid="{00000000-0010-0000-0000-000023000000}" name="age"/>
    <tableColumn id="36" xr3:uid="{00000000-0010-0000-0000-000024000000}" name="age_stage"/>
    <tableColumn id="37" xr3:uid="{00000000-0010-0000-0000-000025000000}" name="age_confid"/>
    <tableColumn id="38" xr3:uid="{00000000-0010-0000-0000-000026000000}" name="sex"/>
    <tableColumn id="39" xr3:uid="{00000000-0010-0000-0000-000027000000}" name="sex_confid"/>
    <tableColumn id="40" xr3:uid="{00000000-0010-0000-0000-000028000000}" name="health_status"/>
    <tableColumn id="41" xr3:uid="{00000000-0010-0000-0000-000029000000}" name="dietary_status"/>
    <tableColumn id="42" xr3:uid="{00000000-0010-0000-0000-00002A000000}" name="BW_reported"/>
    <tableColumn id="43" xr3:uid="{00000000-0010-0000-0000-00002B000000}" name="BW_notes"/>
    <tableColumn id="44" xr3:uid="{00000000-0010-0000-0000-00002C000000}" name="BW_std_kg"/>
    <tableColumn id="45" xr3:uid="{00000000-0010-0000-0000-00002D000000}" name="BW_confid"/>
    <tableColumn id="46" xr3:uid="{00000000-0010-0000-0000-00002E000000}" name="dose_reported"/>
    <tableColumn id="47" xr3:uid="{00000000-0010-0000-0000-00002F000000}" name="dose_reported_units"/>
    <tableColumn id="48" xr3:uid="{00000000-0010-0000-0000-000030000000}" name="dose_note"/>
    <tableColumn id="49" xr3:uid="{00000000-0010-0000-0000-000031000000}" name="dose_std"/>
    <tableColumn id="50" xr3:uid="{00000000-0010-0000-0000-000032000000}" name="dose_std_units"/>
    <tableColumn id="51" xr3:uid="{00000000-0010-0000-0000-000033000000}" name="dose_std_note"/>
    <tableColumn id="52" xr3:uid="{00000000-0010-0000-0000-000034000000}" name="dose_confid"/>
    <tableColumn id="53" xr3:uid="{00000000-0010-0000-0000-000035000000}" name="route..52"/>
    <tableColumn id="54" xr3:uid="{00000000-0010-0000-0000-000036000000}" name="route_desc"/>
    <tableColumn id="55" xr3:uid="{00000000-0010-0000-0000-000037000000}" name="route_confid"/>
    <tableColumn id="56" xr3:uid="{00000000-0010-0000-0000-000038000000}" name="route_direct"/>
    <tableColumn id="57" xr3:uid="{00000000-0010-0000-0000-000039000000}" name="duration_reported"/>
    <tableColumn id="58" xr3:uid="{00000000-0010-0000-0000-00003A000000}" name="duration_units_reported"/>
    <tableColumn id="59" xr3:uid="{00000000-0010-0000-0000-00003B000000}" name="duration_std_h"/>
    <tableColumn id="60" xr3:uid="{00000000-0010-0000-0000-00003C000000}" name="stage_in_chronic_study"/>
    <tableColumn id="61" xr3:uid="{00000000-0010-0000-0000-00003D000000}" name="duration_confid"/>
    <tableColumn id="62" xr3:uid="{00000000-0010-0000-0000-00003E000000}" name="dosing_volume_reported"/>
    <tableColumn id="63" xr3:uid="{00000000-0010-0000-0000-00003F000000}" name="dosing_units_reported"/>
    <tableColumn id="64" xr3:uid="{00000000-0010-0000-0000-000040000000}" name="dosing_volume_std"/>
    <tableColumn id="65" xr3:uid="{00000000-0010-0000-0000-000041000000}" name="dosing_units_std"/>
    <tableColumn id="66" xr3:uid="{00000000-0010-0000-0000-000042000000}" name="dosing_confid"/>
    <tableColumn id="67" xr3:uid="{00000000-0010-0000-0000-000043000000}" name="dosing_frequency"/>
    <tableColumn id="68" xr3:uid="{00000000-0010-0000-0000-000044000000}" name="dosing_frequency_confid"/>
    <tableColumn id="69" xr3:uid="{00000000-0010-0000-0000-000045000000}" name="tissue..68"/>
    <tableColumn id="70" xr3:uid="{00000000-0010-0000-0000-000046000000}" name="tissue_confid"/>
    <tableColumn id="71" xr3:uid="{00000000-0010-0000-0000-000047000000}" name="vehicule_used"/>
    <tableColumn id="72" xr3:uid="{00000000-0010-0000-0000-000048000000}" name="vehicule_concentration"/>
    <tableColumn id="73" xr3:uid="{00000000-0010-0000-0000-000049000000}" name="co_exposure"/>
    <tableColumn id="74" xr3:uid="{00000000-0010-0000-0000-00004A000000}" name="vehicule_confid"/>
    <tableColumn id="75" xr3:uid="{00000000-0010-0000-0000-00004B000000}" name="control_group_used"/>
    <tableColumn id="76" xr3:uid="{00000000-0010-0000-0000-00004C000000}" name="toxicity_notes"/>
    <tableColumn id="77" xr3:uid="{00000000-0010-0000-0000-00004D000000}" name="signs_of_toxicity"/>
    <tableColumn id="78" xr3:uid="{00000000-0010-0000-0000-00004E000000}" name="pharmacokinetic_model_used"/>
    <tableColumn id="79" xr3:uid="{00000000-0010-0000-0000-00004F000000}" name="modelling_notes"/>
    <tableColumn id="80" xr3:uid="{00000000-0010-0000-0000-000050000000}" name="pharmacokinetic_model_confid"/>
    <tableColumn id="81" xr3:uid="{00000000-0010-0000-0000-000051000000}" name="clearance"/>
    <tableColumn id="82" xr3:uid="{00000000-0010-0000-0000-000052000000}" name="rate_of_elimination"/>
    <tableColumn id="83" xr3:uid="{00000000-0010-0000-0000-000053000000}" name="half_life"/>
    <tableColumn id="84" xr3:uid="{00000000-0010-0000-0000-000054000000}" name="AUC"/>
    <tableColumn id="85" xr3:uid="{00000000-0010-0000-0000-000055000000}" name="bioavailability"/>
    <tableColumn id="86" xr3:uid="{00000000-0010-0000-0000-000056000000}" name="Cmax_C0"/>
    <tableColumn id="87" xr3:uid="{00000000-0010-0000-0000-000057000000}" name="MRT_MAT_Tmax"/>
    <tableColumn id="88" xr3:uid="{00000000-0010-0000-0000-000058000000}" name="hybrid_constants"/>
    <tableColumn id="89" xr3:uid="{00000000-0010-0000-0000-000059000000}" name="intercepts"/>
    <tableColumn id="90" xr3:uid="{00000000-0010-0000-0000-00005A000000}" name="volume_of_distribution"/>
    <tableColumn id="91" xr3:uid="{00000000-0010-0000-0000-00005B000000}" name="rate_of_absorption"/>
    <tableColumn id="92" xr3:uid="{00000000-0010-0000-0000-00005C000000}" name="publication"/>
    <tableColumn id="93" xr3:uid="{00000000-0010-0000-0000-00005D000000}" name="detection_method"/>
    <tableColumn id="94" xr3:uid="{00000000-0010-0000-0000-00005E000000}" name="radiolabelled_administered"/>
    <tableColumn id="95" xr3:uid="{00000000-0010-0000-0000-00005F000000}" name="total_radioactivity"/>
    <tableColumn id="96" xr3:uid="{00000000-0010-0000-0000-000060000000}" name="radiolabelled_note"/>
    <tableColumn id="97" xr3:uid="{00000000-0010-0000-0000-000061000000}" name="QC1_Parent_Metabolite"/>
    <tableColumn id="98" xr3:uid="{00000000-0010-0000-0000-000062000000}" name="QC2_Sample_size"/>
    <tableColumn id="99" xr3:uid="{00000000-0010-0000-0000-000063000000}" name="QC3_Time_points"/>
    <tableColumn id="100" xr3:uid="{00000000-0010-0000-0000-000064000000}" name="QC4_Chemical_purity"/>
    <tableColumn id="101" xr3:uid="{00000000-0010-0000-0000-000065000000}" name="QC5_Units"/>
    <tableColumn id="102" xr3:uid="{00000000-0010-0000-0000-000066000000}" name="QC6_Biological_information"/>
    <tableColumn id="103" xr3:uid="{00000000-0010-0000-0000-000067000000}" name="QC7_Body_weight"/>
    <tableColumn id="104" xr3:uid="{00000000-0010-0000-0000-000068000000}" name="QC8_Dose"/>
    <tableColumn id="105" xr3:uid="{00000000-0010-0000-0000-000069000000}" name="QC9_Dosing"/>
    <tableColumn id="106" xr3:uid="{00000000-0010-0000-0000-00006A000000}" name="QC10_Dosing_frequency"/>
    <tableColumn id="107" xr3:uid="{00000000-0010-0000-0000-00006B000000}" name="QC11_Route_of_administration"/>
    <tableColumn id="108" xr3:uid="{00000000-0010-0000-0000-00006C000000}" name="QC12_Test_duration"/>
    <tableColumn id="109" xr3:uid="{00000000-0010-0000-0000-00006D000000}" name="QC13_Tissue_tested"/>
    <tableColumn id="110" xr3:uid="{00000000-0010-0000-0000-00006E000000}" name="QC14_Vehicle_used"/>
    <tableColumn id="111" xr3:uid="{00000000-0010-0000-0000-00006F000000}" name="QC15_Control"/>
    <tableColumn id="112" xr3:uid="{00000000-0010-0000-0000-000070000000}" name="QC16_Indication_of_Toxicity"/>
    <tableColumn id="113" xr3:uid="{00000000-0010-0000-0000-000071000000}" name="QC17_Pharmacokinetic_model"/>
    <tableColumn id="114" xr3:uid="{00000000-0010-0000-0000-000072000000}" name="QC18_Clearance"/>
    <tableColumn id="115" xr3:uid="{00000000-0010-0000-0000-000073000000}" name="QC19_Elimination_Rate"/>
    <tableColumn id="116" xr3:uid="{00000000-0010-0000-0000-000074000000}" name="QC20_Half_Life"/>
    <tableColumn id="117" xr3:uid="{00000000-0010-0000-0000-000075000000}" name="QC21_AUC"/>
    <tableColumn id="118" xr3:uid="{00000000-0010-0000-0000-000076000000}" name="QC22_Bioavailability"/>
    <tableColumn id="119" xr3:uid="{00000000-0010-0000-0000-000077000000}" name="QC23_Cmax_C0"/>
    <tableColumn id="120" xr3:uid="{00000000-0010-0000-0000-000078000000}" name="QC24_MRT_MAT_Tmax"/>
    <tableColumn id="121" xr3:uid="{00000000-0010-0000-0000-000079000000}" name="QC25_Hybrid_constants"/>
    <tableColumn id="122" xr3:uid="{00000000-0010-0000-0000-00007A000000}" name="QC26_Intercepts"/>
    <tableColumn id="123" xr3:uid="{00000000-0010-0000-0000-00007B000000}" name="QC27_Volume_of_distribution"/>
    <tableColumn id="124" xr3:uid="{00000000-0010-0000-0000-00007C000000}" name="QC28_Absorption_Rate"/>
    <tableColumn id="125" xr3:uid="{00000000-0010-0000-0000-00007D000000}" name="QC29_Publication"/>
    <tableColumn id="126" xr3:uid="{00000000-0010-0000-0000-00007E000000}" name="CriticalFail"/>
    <tableColumn id="127" xr3:uid="{00000000-0010-0000-0000-00007F000000}" name="MaxPossible"/>
    <tableColumn id="128" xr3:uid="{00000000-0010-0000-0000-000080000000}" name="TotAbsScore"/>
    <tableColumn id="129" xr3:uid="{00000000-0010-0000-0000-000081000000}" name="TotRelScore"/>
    <tableColumn id="130" xr3:uid="{00000000-0010-0000-0000-000082000000}" name="Binning"/>
    <tableColumn id="131" xr3:uid="{00000000-0010-0000-0000-000083000000}" name="record_id..130"/>
    <tableColumn id="132" xr3:uid="{00000000-0010-0000-0000-000084000000}" name="created_date"/>
    <tableColumn id="133" xr3:uid="{00000000-0010-0000-0000-000085000000}" name="last_modifi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51784-383D-4D34-8ED4-40E416B149B2}" name="Table2" displayName="Table2" ref="A1:I113" totalsRowShown="0">
  <autoFilter ref="A1:I113" xr:uid="{57E51784-383D-4D34-8ED4-40E416B149B2}">
    <filterColumn colId="0">
      <filters>
        <filter val="total clearance_L_kgxday"/>
      </filters>
    </filterColumn>
    <filterColumn colId="5">
      <filters>
        <filter val="Female"/>
      </filters>
    </filterColumn>
  </autoFilter>
  <sortState xmlns:xlrd2="http://schemas.microsoft.com/office/spreadsheetml/2017/richdata2" ref="A2:I113">
    <sortCondition ref="A1:A113"/>
  </sortState>
  <tableColumns count="9">
    <tableColumn id="1" xr3:uid="{68297791-DB3B-4CD5-AF7F-F4A6C54FCEC3}" name="variable"/>
    <tableColumn id="2" xr3:uid="{BF933B83-7D72-4FB8-9A17-AB5E18EDFF91}" name="units"/>
    <tableColumn id="3" xr3:uid="{BBEF7DCA-724C-4319-B315-98B31EFA44D8}" name="chem"/>
    <tableColumn id="4" xr3:uid="{68E04B53-B04F-4E86-9126-BAAAE6CA38FC}" name="species"/>
    <tableColumn id="8" xr3:uid="{981EE5AE-8682-4E0D-A3ED-ECAF24926A3F}" name="route"/>
    <tableColumn id="5" xr3:uid="{7819B2EC-E3EE-4A7B-8926-A6DA1C7C7C84}" name="sex"/>
    <tableColumn id="6" xr3:uid="{15E6D181-4396-4C98-94C8-5A0BF01BF2DD}" name="value"/>
    <tableColumn id="9" xr3:uid="{C48B8850-9831-4377-A3FE-2C5FD5F24B29}" name="sd"/>
    <tableColumn id="7" xr3:uid="{79B2437B-E7E7-4C90-BFE9-A4AE57F18D19}" name="d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2"/>
  <sheetViews>
    <sheetView zoomScaleNormal="100" workbookViewId="0">
      <selection activeCell="G19" sqref="G19"/>
    </sheetView>
  </sheetViews>
  <sheetFormatPr defaultRowHeight="15" x14ac:dyDescent="0.25"/>
  <cols>
    <col min="1" max="1" width="11" customWidth="1"/>
    <col min="2" max="2" width="11.5703125" customWidth="1"/>
    <col min="3" max="3" width="15.7109375" customWidth="1"/>
    <col min="5" max="5" width="12.5703125" bestFit="1" customWidth="1"/>
    <col min="6" max="6" width="20" customWidth="1"/>
    <col min="7" max="7" width="16.7109375" customWidth="1"/>
    <col min="8" max="8" width="15.42578125" customWidth="1"/>
    <col min="9" max="9" width="11.5703125" customWidth="1"/>
    <col min="10" max="10" width="23.28515625" customWidth="1"/>
    <col min="11" max="11" width="14" customWidth="1"/>
    <col min="12" max="12" width="13.28515625" customWidth="1"/>
    <col min="14" max="14" width="9.85546875" customWidth="1"/>
    <col min="17" max="17" width="21.5703125" customWidth="1"/>
    <col min="18" max="18" width="18.28515625" customWidth="1"/>
    <col min="19" max="19" width="18.42578125" customWidth="1"/>
    <col min="21" max="21" width="13.5703125" customWidth="1"/>
    <col min="22" max="22" width="17.5703125" customWidth="1"/>
    <col min="23" max="23" width="24.85546875" customWidth="1"/>
    <col min="24" max="24" width="19.85546875" customWidth="1"/>
    <col min="25" max="25" width="22.7109375" customWidth="1"/>
    <col min="26" max="26" width="14" customWidth="1"/>
    <col min="27" max="27" width="20.5703125" customWidth="1"/>
    <col min="28" max="28" width="16" customWidth="1"/>
    <col min="29" max="29" width="20.42578125" customWidth="1"/>
    <col min="30" max="30" width="17.28515625" customWidth="1"/>
    <col min="31" max="31" width="22.42578125" customWidth="1"/>
    <col min="32" max="32" width="14" customWidth="1"/>
    <col min="34" max="34" width="14.7109375" customWidth="1"/>
    <col min="36" max="36" width="12" customWidth="1"/>
    <col min="37" max="37" width="12.85546875" customWidth="1"/>
    <col min="39" max="39" width="12.7109375" customWidth="1"/>
    <col min="40" max="40" width="15.140625" customWidth="1"/>
    <col min="41" max="41" width="15.7109375" customWidth="1"/>
    <col min="42" max="42" width="15.140625" customWidth="1"/>
    <col min="43" max="43" width="12.28515625" customWidth="1"/>
    <col min="44" max="44" width="13" customWidth="1"/>
    <col min="45" max="45" width="12.85546875" customWidth="1"/>
    <col min="46" max="46" width="16.28515625" customWidth="1"/>
    <col min="47" max="47" width="21.7109375" customWidth="1"/>
    <col min="48" max="48" width="12.5703125" customWidth="1"/>
    <col min="49" max="49" width="11.140625" customWidth="1"/>
    <col min="50" max="50" width="16.5703125" customWidth="1"/>
    <col min="51" max="51" width="16.28515625" customWidth="1"/>
    <col min="52" max="52" width="14" customWidth="1"/>
    <col min="53" max="53" width="11.140625" customWidth="1"/>
    <col min="54" max="54" width="13" customWidth="1"/>
    <col min="55" max="55" width="14.5703125" customWidth="1"/>
    <col min="56" max="56" width="14.140625" customWidth="1"/>
    <col min="57" max="57" width="19.5703125" customWidth="1"/>
    <col min="58" max="58" width="25" customWidth="1"/>
    <col min="59" max="59" width="16.5703125" customWidth="1"/>
    <col min="60" max="60" width="23.85546875" customWidth="1"/>
    <col min="61" max="61" width="17.28515625" customWidth="1"/>
    <col min="62" max="62" width="25.5703125" customWidth="1"/>
    <col min="63" max="63" width="23.28515625" customWidth="1"/>
    <col min="64" max="64" width="20.42578125" customWidth="1"/>
    <col min="65" max="65" width="18.140625" customWidth="1"/>
    <col min="66" max="66" width="15.5703125" customWidth="1"/>
    <col min="67" max="67" width="19" customWidth="1"/>
    <col min="68" max="68" width="25.5703125" customWidth="1"/>
    <col min="69" max="69" width="11.5703125" customWidth="1"/>
    <col min="70" max="70" width="15" customWidth="1"/>
    <col min="71" max="71" width="16" customWidth="1"/>
    <col min="72" max="72" width="24" customWidth="1"/>
    <col min="73" max="73" width="14.42578125" customWidth="1"/>
    <col min="74" max="74" width="17.28515625" customWidth="1"/>
    <col min="75" max="75" width="20.85546875" customWidth="1"/>
    <col min="76" max="76" width="15.7109375" customWidth="1"/>
    <col min="77" max="77" width="18" customWidth="1"/>
    <col min="78" max="78" width="29.85546875" customWidth="1"/>
    <col min="79" max="79" width="18.140625" customWidth="1"/>
    <col min="80" max="80" width="31.140625" customWidth="1"/>
    <col min="81" max="81" width="11.5703125" customWidth="1"/>
    <col min="82" max="82" width="20.85546875" customWidth="1"/>
    <col min="83" max="83" width="10.5703125" customWidth="1"/>
    <col min="85" max="85" width="15.7109375" customWidth="1"/>
    <col min="86" max="86" width="11.140625" customWidth="1"/>
    <col min="87" max="87" width="18" customWidth="1"/>
    <col min="88" max="88" width="18.28515625" customWidth="1"/>
    <col min="89" max="89" width="12.140625" customWidth="1"/>
    <col min="90" max="90" width="24.140625" customWidth="1"/>
    <col min="91" max="91" width="20.140625" customWidth="1"/>
    <col min="92" max="92" width="13.140625" customWidth="1"/>
    <col min="93" max="93" width="19.7109375" customWidth="1"/>
    <col min="94" max="94" width="27.85546875" customWidth="1"/>
    <col min="95" max="95" width="19.28515625" customWidth="1"/>
    <col min="96" max="96" width="20.140625" customWidth="1"/>
    <col min="97" max="97" width="24.5703125" customWidth="1"/>
    <col min="98" max="99" width="18.7109375" customWidth="1"/>
    <col min="100" max="100" width="22.140625" customWidth="1"/>
    <col min="101" max="101" width="12.42578125" customWidth="1"/>
    <col min="102" max="102" width="27.85546875" customWidth="1"/>
    <col min="103" max="103" width="19.28515625" customWidth="1"/>
    <col min="104" max="104" width="12.140625" customWidth="1"/>
    <col min="105" max="105" width="13.7109375" customWidth="1"/>
    <col min="106" max="106" width="24.7109375" customWidth="1"/>
    <col min="107" max="107" width="30.85546875" customWidth="1"/>
    <col min="108" max="109" width="21" customWidth="1"/>
    <col min="110" max="110" width="20.7109375" customWidth="1"/>
    <col min="111" max="111" width="15.28515625" customWidth="1"/>
    <col min="112" max="112" width="28.28515625" customWidth="1"/>
    <col min="113" max="113" width="30.140625" customWidth="1"/>
    <col min="114" max="114" width="17.42578125" customWidth="1"/>
    <col min="115" max="115" width="23.85546875" customWidth="1"/>
    <col min="116" max="116" width="16.5703125" customWidth="1"/>
    <col min="117" max="117" width="12.5703125" customWidth="1"/>
    <col min="118" max="118" width="21.28515625" customWidth="1"/>
    <col min="119" max="119" width="16.7109375" customWidth="1"/>
    <col min="120" max="120" width="23.5703125" customWidth="1"/>
    <col min="121" max="121" width="24" customWidth="1"/>
    <col min="122" max="122" width="17.7109375" customWidth="1"/>
    <col min="123" max="123" width="30" customWidth="1"/>
    <col min="124" max="124" width="23.5703125" customWidth="1"/>
    <col min="125" max="125" width="18.7109375" customWidth="1"/>
    <col min="126" max="126" width="12.42578125" customWidth="1"/>
    <col min="127" max="127" width="14.42578125" customWidth="1"/>
    <col min="128" max="128" width="14.140625" customWidth="1"/>
    <col min="129" max="129" width="13.7109375" customWidth="1"/>
    <col min="130" max="130" width="9.85546875" customWidth="1"/>
    <col min="131" max="131" width="15.7109375" customWidth="1"/>
    <col min="132" max="132" width="14.85546875" customWidth="1"/>
    <col min="133" max="133" width="15.42578125" customWidth="1"/>
  </cols>
  <sheetData>
    <row r="1" spans="1:133" x14ac:dyDescent="0.25">
      <c r="A1" t="s">
        <v>297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</row>
    <row r="2" spans="1:133" hidden="1" x14ac:dyDescent="0.25">
      <c r="A2">
        <v>51</v>
      </c>
      <c r="B2">
        <v>25787</v>
      </c>
      <c r="C2" t="s">
        <v>132</v>
      </c>
      <c r="D2" t="s">
        <v>133</v>
      </c>
      <c r="E2" t="s">
        <v>134</v>
      </c>
      <c r="F2" t="s">
        <v>135</v>
      </c>
      <c r="G2" s="1">
        <v>2.075E-5</v>
      </c>
      <c r="H2" t="s">
        <v>136</v>
      </c>
      <c r="L2">
        <v>22120539</v>
      </c>
      <c r="M2" t="s">
        <v>137</v>
      </c>
      <c r="N2" t="s">
        <v>138</v>
      </c>
      <c r="O2">
        <v>2012</v>
      </c>
      <c r="P2" t="s">
        <v>139</v>
      </c>
      <c r="Q2">
        <v>4201</v>
      </c>
      <c r="R2">
        <v>100229</v>
      </c>
      <c r="T2">
        <v>364</v>
      </c>
      <c r="U2" t="s">
        <v>140</v>
      </c>
      <c r="W2" t="s">
        <v>141</v>
      </c>
      <c r="X2">
        <v>464</v>
      </c>
      <c r="Y2" t="s">
        <v>142</v>
      </c>
      <c r="Z2" t="s">
        <v>143</v>
      </c>
      <c r="AA2" t="s">
        <v>144</v>
      </c>
      <c r="AB2">
        <v>6</v>
      </c>
      <c r="AC2" t="s">
        <v>145</v>
      </c>
      <c r="AD2">
        <v>98.699996948242202</v>
      </c>
      <c r="AF2" t="s">
        <v>140</v>
      </c>
      <c r="AG2" t="s">
        <v>146</v>
      </c>
      <c r="AH2" t="s">
        <v>140</v>
      </c>
      <c r="AJ2" t="s">
        <v>147</v>
      </c>
      <c r="AK2" t="s">
        <v>148</v>
      </c>
      <c r="AL2" t="s">
        <v>149</v>
      </c>
      <c r="AM2" t="s">
        <v>140</v>
      </c>
      <c r="AN2" t="s">
        <v>150</v>
      </c>
      <c r="AO2" t="s">
        <v>151</v>
      </c>
      <c r="AP2" t="s">
        <v>152</v>
      </c>
      <c r="AQ2" t="s">
        <v>153</v>
      </c>
      <c r="AR2">
        <v>0.259999990463257</v>
      </c>
      <c r="AS2" t="s">
        <v>140</v>
      </c>
      <c r="AT2">
        <v>3</v>
      </c>
      <c r="AU2" t="s">
        <v>154</v>
      </c>
      <c r="AW2">
        <v>0.69999998807907104</v>
      </c>
      <c r="AX2" t="s">
        <v>155</v>
      </c>
      <c r="AZ2" t="s">
        <v>140</v>
      </c>
      <c r="BA2" t="s">
        <v>134</v>
      </c>
      <c r="BC2">
        <v>1</v>
      </c>
      <c r="BD2">
        <v>0</v>
      </c>
      <c r="BE2">
        <v>24</v>
      </c>
      <c r="BF2" t="s">
        <v>156</v>
      </c>
      <c r="BG2">
        <v>24</v>
      </c>
      <c r="BI2">
        <v>1</v>
      </c>
      <c r="BJ2">
        <v>24.4</v>
      </c>
      <c r="BK2" t="s">
        <v>157</v>
      </c>
      <c r="BL2">
        <v>8784000</v>
      </c>
      <c r="BM2" t="s">
        <v>158</v>
      </c>
      <c r="BN2">
        <v>1</v>
      </c>
      <c r="BO2" t="s">
        <v>159</v>
      </c>
      <c r="BP2">
        <v>1</v>
      </c>
      <c r="BQ2" t="s">
        <v>133</v>
      </c>
      <c r="BR2">
        <v>1</v>
      </c>
      <c r="BS2" t="s">
        <v>160</v>
      </c>
      <c r="BV2">
        <v>1</v>
      </c>
      <c r="BW2">
        <v>0</v>
      </c>
      <c r="BX2" t="s">
        <v>161</v>
      </c>
      <c r="BY2">
        <v>0</v>
      </c>
      <c r="BZ2" t="s">
        <v>162</v>
      </c>
      <c r="CB2" t="s">
        <v>140</v>
      </c>
      <c r="CF2" t="s">
        <v>163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164</v>
      </c>
      <c r="CO2" t="s">
        <v>165</v>
      </c>
      <c r="CP2">
        <v>0</v>
      </c>
      <c r="CQ2">
        <v>0</v>
      </c>
      <c r="CS2">
        <v>5</v>
      </c>
      <c r="CT2">
        <v>10</v>
      </c>
      <c r="CU2">
        <v>6</v>
      </c>
      <c r="CV2">
        <v>3</v>
      </c>
      <c r="CW2">
        <v>10</v>
      </c>
      <c r="CX2">
        <v>3</v>
      </c>
      <c r="CY2">
        <v>5</v>
      </c>
      <c r="CZ2">
        <v>10</v>
      </c>
      <c r="DA2">
        <v>5</v>
      </c>
      <c r="DB2">
        <v>5</v>
      </c>
      <c r="DC2">
        <v>5</v>
      </c>
      <c r="DD2">
        <v>5</v>
      </c>
      <c r="DE2">
        <v>5</v>
      </c>
      <c r="DF2">
        <v>5</v>
      </c>
      <c r="DG2">
        <v>0</v>
      </c>
      <c r="DH2">
        <v>10</v>
      </c>
      <c r="DI2">
        <v>5</v>
      </c>
      <c r="DJ2">
        <v>0</v>
      </c>
      <c r="DK2">
        <v>0</v>
      </c>
      <c r="DL2">
        <v>0</v>
      </c>
      <c r="DM2">
        <v>3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5</v>
      </c>
      <c r="DV2">
        <v>0</v>
      </c>
      <c r="DW2">
        <v>196</v>
      </c>
      <c r="DX2">
        <v>105</v>
      </c>
      <c r="DY2">
        <v>0.53571426868438698</v>
      </c>
      <c r="DZ2" t="s">
        <v>144</v>
      </c>
      <c r="EA2">
        <v>25787</v>
      </c>
      <c r="EB2" t="s">
        <v>166</v>
      </c>
      <c r="EC2" t="s">
        <v>167</v>
      </c>
    </row>
    <row r="3" spans="1:133" hidden="1" x14ac:dyDescent="0.25">
      <c r="A3">
        <v>52</v>
      </c>
      <c r="B3">
        <v>25809</v>
      </c>
      <c r="C3" t="s">
        <v>132</v>
      </c>
      <c r="D3" t="s">
        <v>133</v>
      </c>
      <c r="E3" t="s">
        <v>134</v>
      </c>
      <c r="F3" t="s">
        <v>135</v>
      </c>
      <c r="G3" s="1">
        <v>2.031E-4</v>
      </c>
      <c r="H3" t="s">
        <v>136</v>
      </c>
      <c r="L3">
        <v>22120539</v>
      </c>
      <c r="M3" t="s">
        <v>137</v>
      </c>
      <c r="N3" t="s">
        <v>138</v>
      </c>
      <c r="O3">
        <v>2012</v>
      </c>
      <c r="P3" t="s">
        <v>139</v>
      </c>
      <c r="Q3">
        <v>4223</v>
      </c>
      <c r="R3">
        <v>100251</v>
      </c>
      <c r="T3">
        <v>364</v>
      </c>
      <c r="U3" t="s">
        <v>140</v>
      </c>
      <c r="W3" t="s">
        <v>141</v>
      </c>
      <c r="X3">
        <v>464</v>
      </c>
      <c r="Y3" t="s">
        <v>142</v>
      </c>
      <c r="Z3" t="s">
        <v>143</v>
      </c>
      <c r="AA3" t="s">
        <v>144</v>
      </c>
      <c r="AB3">
        <v>6</v>
      </c>
      <c r="AC3" t="s">
        <v>145</v>
      </c>
      <c r="AD3">
        <v>98.699996948242202</v>
      </c>
      <c r="AF3" t="s">
        <v>140</v>
      </c>
      <c r="AG3" t="s">
        <v>146</v>
      </c>
      <c r="AH3" t="s">
        <v>140</v>
      </c>
      <c r="AJ3" t="s">
        <v>147</v>
      </c>
      <c r="AK3" t="s">
        <v>148</v>
      </c>
      <c r="AL3" t="s">
        <v>149</v>
      </c>
      <c r="AM3" t="s">
        <v>140</v>
      </c>
      <c r="AN3" t="s">
        <v>150</v>
      </c>
      <c r="AO3" t="s">
        <v>151</v>
      </c>
      <c r="AP3" t="s">
        <v>168</v>
      </c>
      <c r="AQ3" t="s">
        <v>153</v>
      </c>
      <c r="AR3">
        <v>0.25799998641014099</v>
      </c>
      <c r="AS3" t="s">
        <v>140</v>
      </c>
      <c r="AT3">
        <v>30</v>
      </c>
      <c r="AU3" t="s">
        <v>154</v>
      </c>
      <c r="AW3">
        <v>7</v>
      </c>
      <c r="AX3" t="s">
        <v>155</v>
      </c>
      <c r="AZ3" t="s">
        <v>140</v>
      </c>
      <c r="BA3" t="s">
        <v>134</v>
      </c>
      <c r="BC3">
        <v>1</v>
      </c>
      <c r="BD3">
        <v>0</v>
      </c>
      <c r="BE3">
        <v>24</v>
      </c>
      <c r="BF3" t="s">
        <v>156</v>
      </c>
      <c r="BG3">
        <v>24</v>
      </c>
      <c r="BI3">
        <v>1</v>
      </c>
      <c r="BJ3">
        <v>23.7</v>
      </c>
      <c r="BK3" t="s">
        <v>157</v>
      </c>
      <c r="BL3">
        <v>8532000</v>
      </c>
      <c r="BM3" t="s">
        <v>158</v>
      </c>
      <c r="BN3">
        <v>1</v>
      </c>
      <c r="BO3" t="s">
        <v>159</v>
      </c>
      <c r="BP3">
        <v>1</v>
      </c>
      <c r="BQ3" t="s">
        <v>133</v>
      </c>
      <c r="BR3">
        <v>1</v>
      </c>
      <c r="BS3" t="s">
        <v>160</v>
      </c>
      <c r="BV3">
        <v>1</v>
      </c>
      <c r="BW3">
        <v>0</v>
      </c>
      <c r="BX3" t="s">
        <v>161</v>
      </c>
      <c r="BY3">
        <v>0</v>
      </c>
      <c r="BZ3" t="s">
        <v>162</v>
      </c>
      <c r="CB3" t="s">
        <v>140</v>
      </c>
      <c r="CF3" t="s">
        <v>163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164</v>
      </c>
      <c r="CO3" t="s">
        <v>165</v>
      </c>
      <c r="CP3">
        <v>0</v>
      </c>
      <c r="CQ3">
        <v>0</v>
      </c>
      <c r="CS3">
        <v>5</v>
      </c>
      <c r="CT3">
        <v>10</v>
      </c>
      <c r="CU3">
        <v>6</v>
      </c>
      <c r="CV3">
        <v>3</v>
      </c>
      <c r="CW3">
        <v>10</v>
      </c>
      <c r="CX3">
        <v>3</v>
      </c>
      <c r="CY3">
        <v>5</v>
      </c>
      <c r="CZ3">
        <v>10</v>
      </c>
      <c r="DA3">
        <v>5</v>
      </c>
      <c r="DB3">
        <v>5</v>
      </c>
      <c r="DC3">
        <v>5</v>
      </c>
      <c r="DD3">
        <v>5</v>
      </c>
      <c r="DE3">
        <v>5</v>
      </c>
      <c r="DF3">
        <v>5</v>
      </c>
      <c r="DG3">
        <v>0</v>
      </c>
      <c r="DH3">
        <v>10</v>
      </c>
      <c r="DI3">
        <v>5</v>
      </c>
      <c r="DJ3">
        <v>0</v>
      </c>
      <c r="DK3">
        <v>0</v>
      </c>
      <c r="DL3">
        <v>0</v>
      </c>
      <c r="DM3">
        <v>3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5</v>
      </c>
      <c r="DV3">
        <v>0</v>
      </c>
      <c r="DW3">
        <v>196</v>
      </c>
      <c r="DX3">
        <v>105</v>
      </c>
      <c r="DY3">
        <v>0.53571426868438698</v>
      </c>
      <c r="DZ3" t="s">
        <v>144</v>
      </c>
      <c r="EA3">
        <v>25809</v>
      </c>
      <c r="EB3" t="s">
        <v>169</v>
      </c>
      <c r="EC3" t="s">
        <v>167</v>
      </c>
    </row>
    <row r="4" spans="1:133" hidden="1" x14ac:dyDescent="0.25">
      <c r="A4">
        <v>53</v>
      </c>
      <c r="B4">
        <v>25820</v>
      </c>
      <c r="C4" t="s">
        <v>132</v>
      </c>
      <c r="D4" t="s">
        <v>133</v>
      </c>
      <c r="E4" t="s">
        <v>134</v>
      </c>
      <c r="F4" t="s">
        <v>135</v>
      </c>
      <c r="G4" s="1">
        <v>1.0560000000000001E-5</v>
      </c>
      <c r="H4" t="s">
        <v>136</v>
      </c>
      <c r="L4">
        <v>22120539</v>
      </c>
      <c r="M4" t="s">
        <v>137</v>
      </c>
      <c r="N4" t="s">
        <v>138</v>
      </c>
      <c r="O4">
        <v>2012</v>
      </c>
      <c r="P4" t="s">
        <v>139</v>
      </c>
      <c r="Q4">
        <v>4234</v>
      </c>
      <c r="R4">
        <v>100262</v>
      </c>
      <c r="T4">
        <v>364</v>
      </c>
      <c r="U4" t="s">
        <v>140</v>
      </c>
      <c r="W4" t="s">
        <v>141</v>
      </c>
      <c r="X4">
        <v>464</v>
      </c>
      <c r="Y4" t="s">
        <v>142</v>
      </c>
      <c r="Z4" t="s">
        <v>143</v>
      </c>
      <c r="AA4" t="s">
        <v>144</v>
      </c>
      <c r="AB4">
        <v>6</v>
      </c>
      <c r="AC4" t="s">
        <v>145</v>
      </c>
      <c r="AD4">
        <v>98.699996948242202</v>
      </c>
      <c r="AF4" t="s">
        <v>140</v>
      </c>
      <c r="AG4" t="s">
        <v>146</v>
      </c>
      <c r="AH4" t="s">
        <v>140</v>
      </c>
      <c r="AJ4" t="s">
        <v>147</v>
      </c>
      <c r="AK4" t="s">
        <v>148</v>
      </c>
      <c r="AL4" t="s">
        <v>170</v>
      </c>
      <c r="AM4" t="s">
        <v>140</v>
      </c>
      <c r="AN4" t="s">
        <v>150</v>
      </c>
      <c r="AO4" t="s">
        <v>151</v>
      </c>
      <c r="AP4" t="s">
        <v>171</v>
      </c>
      <c r="AQ4" t="s">
        <v>153</v>
      </c>
      <c r="AR4">
        <v>0.19400000572204601</v>
      </c>
      <c r="AS4" t="s">
        <v>140</v>
      </c>
      <c r="AT4">
        <v>30</v>
      </c>
      <c r="AU4" t="s">
        <v>154</v>
      </c>
      <c r="AW4">
        <v>7</v>
      </c>
      <c r="AX4" t="s">
        <v>155</v>
      </c>
      <c r="AZ4" t="s">
        <v>140</v>
      </c>
      <c r="BA4" t="s">
        <v>134</v>
      </c>
      <c r="BC4">
        <v>1</v>
      </c>
      <c r="BD4">
        <v>0</v>
      </c>
      <c r="BE4">
        <v>24</v>
      </c>
      <c r="BF4" t="s">
        <v>156</v>
      </c>
      <c r="BG4">
        <v>24</v>
      </c>
      <c r="BI4">
        <v>1</v>
      </c>
      <c r="BJ4">
        <v>23.7</v>
      </c>
      <c r="BK4" t="s">
        <v>157</v>
      </c>
      <c r="BL4">
        <v>8532000</v>
      </c>
      <c r="BM4" t="s">
        <v>158</v>
      </c>
      <c r="BN4">
        <v>1</v>
      </c>
      <c r="BO4" t="s">
        <v>159</v>
      </c>
      <c r="BP4">
        <v>1</v>
      </c>
      <c r="BQ4" t="s">
        <v>133</v>
      </c>
      <c r="BR4">
        <v>1</v>
      </c>
      <c r="BS4" t="s">
        <v>160</v>
      </c>
      <c r="BV4">
        <v>1</v>
      </c>
      <c r="BW4">
        <v>0</v>
      </c>
      <c r="BX4" t="s">
        <v>161</v>
      </c>
      <c r="BY4">
        <v>0</v>
      </c>
      <c r="BZ4" t="s">
        <v>162</v>
      </c>
      <c r="CB4" t="s">
        <v>140</v>
      </c>
      <c r="CF4" t="s">
        <v>163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164</v>
      </c>
      <c r="CO4" t="s">
        <v>165</v>
      </c>
      <c r="CP4">
        <v>0</v>
      </c>
      <c r="CQ4">
        <v>0</v>
      </c>
      <c r="CS4">
        <v>5</v>
      </c>
      <c r="CT4">
        <v>10</v>
      </c>
      <c r="CU4">
        <v>6</v>
      </c>
      <c r="CV4">
        <v>3</v>
      </c>
      <c r="CW4">
        <v>10</v>
      </c>
      <c r="CX4">
        <v>3</v>
      </c>
      <c r="CY4">
        <v>5</v>
      </c>
      <c r="CZ4">
        <v>10</v>
      </c>
      <c r="DA4">
        <v>5</v>
      </c>
      <c r="DB4">
        <v>5</v>
      </c>
      <c r="DC4">
        <v>5</v>
      </c>
      <c r="DD4">
        <v>5</v>
      </c>
      <c r="DE4">
        <v>5</v>
      </c>
      <c r="DF4">
        <v>5</v>
      </c>
      <c r="DG4">
        <v>0</v>
      </c>
      <c r="DH4">
        <v>10</v>
      </c>
      <c r="DI4">
        <v>5</v>
      </c>
      <c r="DJ4">
        <v>0</v>
      </c>
      <c r="DK4">
        <v>0</v>
      </c>
      <c r="DL4">
        <v>0</v>
      </c>
      <c r="DM4">
        <v>3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5</v>
      </c>
      <c r="DV4">
        <v>0</v>
      </c>
      <c r="DW4">
        <v>196</v>
      </c>
      <c r="DX4">
        <v>105</v>
      </c>
      <c r="DY4">
        <v>0.53571426868438698</v>
      </c>
      <c r="DZ4" t="s">
        <v>144</v>
      </c>
      <c r="EA4">
        <v>25820</v>
      </c>
      <c r="EB4" t="s">
        <v>172</v>
      </c>
      <c r="EC4" t="s">
        <v>167</v>
      </c>
    </row>
    <row r="5" spans="1:133" hidden="1" x14ac:dyDescent="0.25">
      <c r="A5">
        <v>45</v>
      </c>
      <c r="B5">
        <v>25775</v>
      </c>
      <c r="C5" t="s">
        <v>132</v>
      </c>
      <c r="D5" t="s">
        <v>133</v>
      </c>
      <c r="E5" t="s">
        <v>173</v>
      </c>
      <c r="F5" t="s">
        <v>174</v>
      </c>
      <c r="G5" s="1">
        <v>66.83</v>
      </c>
      <c r="H5" t="s">
        <v>175</v>
      </c>
      <c r="L5">
        <v>12499116</v>
      </c>
      <c r="N5" t="s">
        <v>176</v>
      </c>
      <c r="O5">
        <v>2003</v>
      </c>
      <c r="P5" t="s">
        <v>139</v>
      </c>
      <c r="Q5">
        <v>4189</v>
      </c>
      <c r="R5">
        <v>100200</v>
      </c>
      <c r="T5">
        <v>364.05999755859398</v>
      </c>
      <c r="U5" t="s">
        <v>177</v>
      </c>
      <c r="W5" t="s">
        <v>178</v>
      </c>
      <c r="Y5" t="s">
        <v>179</v>
      </c>
      <c r="Z5">
        <v>3</v>
      </c>
      <c r="AA5" t="s">
        <v>180</v>
      </c>
      <c r="AB5" t="s">
        <v>181</v>
      </c>
      <c r="AE5" t="s">
        <v>181</v>
      </c>
      <c r="AF5" t="s">
        <v>140</v>
      </c>
      <c r="AG5" t="s">
        <v>182</v>
      </c>
      <c r="AH5" t="s">
        <v>140</v>
      </c>
      <c r="AJ5" t="s">
        <v>147</v>
      </c>
      <c r="AK5" t="s">
        <v>148</v>
      </c>
      <c r="AL5" t="s">
        <v>149</v>
      </c>
      <c r="AM5" t="s">
        <v>140</v>
      </c>
      <c r="AN5" t="s">
        <v>150</v>
      </c>
      <c r="AO5" t="s">
        <v>151</v>
      </c>
      <c r="AQ5" t="s">
        <v>181</v>
      </c>
      <c r="AR5">
        <v>0.25</v>
      </c>
      <c r="AS5" t="s">
        <v>183</v>
      </c>
      <c r="AT5">
        <v>48.64</v>
      </c>
      <c r="AU5" t="s">
        <v>184</v>
      </c>
      <c r="AW5">
        <v>17.707878112793001</v>
      </c>
      <c r="AX5" t="s">
        <v>155</v>
      </c>
      <c r="AZ5" t="s">
        <v>140</v>
      </c>
      <c r="BA5" t="s">
        <v>173</v>
      </c>
      <c r="BC5">
        <v>1</v>
      </c>
      <c r="BD5">
        <v>1</v>
      </c>
      <c r="BE5">
        <v>1</v>
      </c>
      <c r="BF5" t="s">
        <v>185</v>
      </c>
      <c r="BG5">
        <v>24</v>
      </c>
      <c r="BI5">
        <v>1</v>
      </c>
      <c r="BJ5">
        <v>2.5</v>
      </c>
      <c r="BK5" t="s">
        <v>186</v>
      </c>
      <c r="BL5">
        <v>2.5</v>
      </c>
      <c r="BM5" t="s">
        <v>186</v>
      </c>
      <c r="BN5">
        <v>1</v>
      </c>
      <c r="BO5" t="s">
        <v>159</v>
      </c>
      <c r="BP5">
        <v>1</v>
      </c>
      <c r="BQ5" t="s">
        <v>133</v>
      </c>
      <c r="BR5">
        <v>1</v>
      </c>
      <c r="BS5" t="s">
        <v>187</v>
      </c>
      <c r="BV5">
        <v>1</v>
      </c>
      <c r="BW5">
        <v>0</v>
      </c>
      <c r="BX5" t="s">
        <v>181</v>
      </c>
      <c r="BZ5" t="s">
        <v>188</v>
      </c>
      <c r="CA5" t="s">
        <v>189</v>
      </c>
      <c r="CB5" t="s">
        <v>140</v>
      </c>
      <c r="CC5" t="s">
        <v>140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 t="s">
        <v>164</v>
      </c>
      <c r="CO5" t="s">
        <v>190</v>
      </c>
      <c r="CP5">
        <v>0</v>
      </c>
      <c r="CQ5">
        <v>0</v>
      </c>
      <c r="CS5">
        <v>5</v>
      </c>
      <c r="CT5">
        <v>5</v>
      </c>
      <c r="CU5">
        <v>0</v>
      </c>
      <c r="CV5">
        <v>1</v>
      </c>
      <c r="CW5">
        <v>10</v>
      </c>
      <c r="CX5">
        <v>3</v>
      </c>
      <c r="CY5">
        <v>0</v>
      </c>
      <c r="CZ5">
        <v>10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0</v>
      </c>
      <c r="DH5">
        <v>2</v>
      </c>
      <c r="DI5">
        <v>5</v>
      </c>
      <c r="DJ5">
        <v>10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10</v>
      </c>
      <c r="DT5">
        <v>0</v>
      </c>
      <c r="DU5">
        <v>5</v>
      </c>
      <c r="DV5">
        <v>0</v>
      </c>
      <c r="DW5">
        <v>181</v>
      </c>
      <c r="DX5">
        <v>96</v>
      </c>
      <c r="DY5">
        <v>0.53038674592971802</v>
      </c>
      <c r="DZ5" t="s">
        <v>144</v>
      </c>
      <c r="EA5">
        <v>25775</v>
      </c>
      <c r="EB5" t="s">
        <v>191</v>
      </c>
      <c r="EC5" t="s">
        <v>167</v>
      </c>
    </row>
    <row r="6" spans="1:133" hidden="1" x14ac:dyDescent="0.25">
      <c r="A6">
        <v>48</v>
      </c>
      <c r="B6">
        <v>25776</v>
      </c>
      <c r="C6" t="s">
        <v>132</v>
      </c>
      <c r="D6" t="s">
        <v>133</v>
      </c>
      <c r="E6" t="s">
        <v>173</v>
      </c>
      <c r="F6" t="s">
        <v>174</v>
      </c>
      <c r="G6" s="1">
        <v>127.9</v>
      </c>
      <c r="H6" t="s">
        <v>175</v>
      </c>
      <c r="L6">
        <v>12499116</v>
      </c>
      <c r="N6" t="s">
        <v>176</v>
      </c>
      <c r="O6">
        <v>2003</v>
      </c>
      <c r="P6" t="s">
        <v>139</v>
      </c>
      <c r="Q6">
        <v>4190</v>
      </c>
      <c r="R6">
        <v>100201</v>
      </c>
      <c r="T6">
        <v>364.05999755859398</v>
      </c>
      <c r="U6" t="s">
        <v>177</v>
      </c>
      <c r="W6" t="s">
        <v>178</v>
      </c>
      <c r="Y6" t="s">
        <v>179</v>
      </c>
      <c r="Z6">
        <v>3</v>
      </c>
      <c r="AA6" t="s">
        <v>180</v>
      </c>
      <c r="AB6" t="s">
        <v>181</v>
      </c>
      <c r="AE6" t="s">
        <v>181</v>
      </c>
      <c r="AF6" t="s">
        <v>140</v>
      </c>
      <c r="AG6" t="s">
        <v>182</v>
      </c>
      <c r="AH6" t="s">
        <v>140</v>
      </c>
      <c r="AJ6" t="s">
        <v>147</v>
      </c>
      <c r="AK6" t="s">
        <v>148</v>
      </c>
      <c r="AL6" t="s">
        <v>170</v>
      </c>
      <c r="AM6" t="s">
        <v>140</v>
      </c>
      <c r="AN6" t="s">
        <v>150</v>
      </c>
      <c r="AO6" t="s">
        <v>151</v>
      </c>
      <c r="AQ6" t="s">
        <v>181</v>
      </c>
      <c r="AR6">
        <v>0.25</v>
      </c>
      <c r="AS6" t="s">
        <v>183</v>
      </c>
      <c r="AT6">
        <v>48.64</v>
      </c>
      <c r="AU6" t="s">
        <v>184</v>
      </c>
      <c r="AW6">
        <v>17.707878112793001</v>
      </c>
      <c r="AX6" t="s">
        <v>155</v>
      </c>
      <c r="AZ6" t="s">
        <v>140</v>
      </c>
      <c r="BA6" t="s">
        <v>173</v>
      </c>
      <c r="BC6">
        <v>1</v>
      </c>
      <c r="BD6">
        <v>1</v>
      </c>
      <c r="BE6">
        <v>1</v>
      </c>
      <c r="BF6" t="s">
        <v>185</v>
      </c>
      <c r="BG6">
        <v>24</v>
      </c>
      <c r="BI6">
        <v>1</v>
      </c>
      <c r="BJ6">
        <v>2.5</v>
      </c>
      <c r="BK6" t="s">
        <v>186</v>
      </c>
      <c r="BL6">
        <v>2.5</v>
      </c>
      <c r="BM6" t="s">
        <v>186</v>
      </c>
      <c r="BN6">
        <v>1</v>
      </c>
      <c r="BO6" t="s">
        <v>159</v>
      </c>
      <c r="BP6">
        <v>1</v>
      </c>
      <c r="BQ6" t="s">
        <v>133</v>
      </c>
      <c r="BR6">
        <v>1</v>
      </c>
      <c r="BS6" t="s">
        <v>187</v>
      </c>
      <c r="BV6">
        <v>1</v>
      </c>
      <c r="BW6">
        <v>0</v>
      </c>
      <c r="BX6" t="s">
        <v>181</v>
      </c>
      <c r="BZ6" t="s">
        <v>188</v>
      </c>
      <c r="CA6" t="s">
        <v>189</v>
      </c>
      <c r="CB6" t="s">
        <v>140</v>
      </c>
      <c r="CC6" t="s">
        <v>140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 t="s">
        <v>164</v>
      </c>
      <c r="CO6" t="s">
        <v>190</v>
      </c>
      <c r="CP6">
        <v>0</v>
      </c>
      <c r="CQ6">
        <v>0</v>
      </c>
      <c r="CS6">
        <v>5</v>
      </c>
      <c r="CT6">
        <v>5</v>
      </c>
      <c r="CU6">
        <v>0</v>
      </c>
      <c r="CV6">
        <v>1</v>
      </c>
      <c r="CW6">
        <v>10</v>
      </c>
      <c r="CX6">
        <v>3</v>
      </c>
      <c r="CY6">
        <v>0</v>
      </c>
      <c r="CZ6">
        <v>10</v>
      </c>
      <c r="DA6">
        <v>5</v>
      </c>
      <c r="DB6">
        <v>5</v>
      </c>
      <c r="DC6">
        <v>5</v>
      </c>
      <c r="DD6">
        <v>5</v>
      </c>
      <c r="DE6">
        <v>5</v>
      </c>
      <c r="DF6">
        <v>5</v>
      </c>
      <c r="DG6">
        <v>0</v>
      </c>
      <c r="DH6">
        <v>2</v>
      </c>
      <c r="DI6">
        <v>5</v>
      </c>
      <c r="DJ6">
        <v>10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10</v>
      </c>
      <c r="DT6">
        <v>0</v>
      </c>
      <c r="DU6">
        <v>5</v>
      </c>
      <c r="DV6">
        <v>0</v>
      </c>
      <c r="DW6">
        <v>181</v>
      </c>
      <c r="DX6">
        <v>96</v>
      </c>
      <c r="DY6">
        <v>0.53038674592971802</v>
      </c>
      <c r="DZ6" t="s">
        <v>144</v>
      </c>
      <c r="EA6">
        <v>25776</v>
      </c>
      <c r="EB6" t="s">
        <v>191</v>
      </c>
      <c r="EC6" t="s">
        <v>167</v>
      </c>
    </row>
    <row r="7" spans="1:133" hidden="1" x14ac:dyDescent="0.25">
      <c r="A7">
        <v>2</v>
      </c>
      <c r="B7">
        <v>23408</v>
      </c>
      <c r="C7" t="s">
        <v>132</v>
      </c>
      <c r="D7" t="s">
        <v>192</v>
      </c>
      <c r="E7" t="s">
        <v>193</v>
      </c>
      <c r="F7" t="s">
        <v>194</v>
      </c>
      <c r="G7" s="1">
        <v>2.6</v>
      </c>
      <c r="H7" t="s">
        <v>195</v>
      </c>
      <c r="I7" t="s">
        <v>140</v>
      </c>
      <c r="L7">
        <v>21059488</v>
      </c>
      <c r="N7" t="s">
        <v>196</v>
      </c>
      <c r="O7">
        <v>2011</v>
      </c>
      <c r="P7" t="s">
        <v>197</v>
      </c>
      <c r="Q7">
        <v>1822</v>
      </c>
      <c r="R7">
        <v>49391</v>
      </c>
      <c r="T7">
        <v>364.06201171875</v>
      </c>
      <c r="U7" t="s">
        <v>140</v>
      </c>
      <c r="W7" t="s">
        <v>198</v>
      </c>
      <c r="Y7" t="s">
        <v>142</v>
      </c>
      <c r="Z7">
        <v>4</v>
      </c>
      <c r="AA7" t="s">
        <v>144</v>
      </c>
      <c r="AB7">
        <v>11</v>
      </c>
      <c r="AC7" t="s">
        <v>144</v>
      </c>
      <c r="AF7" t="s">
        <v>140</v>
      </c>
      <c r="AG7" t="s">
        <v>199</v>
      </c>
      <c r="AH7" t="s">
        <v>140</v>
      </c>
      <c r="AI7" t="s">
        <v>200</v>
      </c>
      <c r="AJ7" t="s">
        <v>201</v>
      </c>
      <c r="AK7" t="s">
        <v>140</v>
      </c>
      <c r="AL7" t="s">
        <v>149</v>
      </c>
      <c r="AM7" t="s">
        <v>140</v>
      </c>
      <c r="AQ7" t="s">
        <v>202</v>
      </c>
      <c r="AR7">
        <v>0.25</v>
      </c>
      <c r="AS7" t="s">
        <v>183</v>
      </c>
      <c r="AT7">
        <v>50</v>
      </c>
      <c r="AU7" t="s">
        <v>203</v>
      </c>
      <c r="AW7">
        <v>5.0000000745058101E-2</v>
      </c>
      <c r="AX7" t="s">
        <v>204</v>
      </c>
      <c r="AY7" t="s">
        <v>140</v>
      </c>
      <c r="AZ7" t="s">
        <v>140</v>
      </c>
      <c r="BA7" t="s">
        <v>193</v>
      </c>
      <c r="BB7" t="s">
        <v>205</v>
      </c>
      <c r="BC7">
        <v>1</v>
      </c>
      <c r="BD7">
        <v>0</v>
      </c>
      <c r="BE7">
        <v>22</v>
      </c>
      <c r="BF7" t="s">
        <v>185</v>
      </c>
      <c r="BG7">
        <v>528</v>
      </c>
      <c r="BI7">
        <v>1</v>
      </c>
      <c r="BJ7">
        <v>4</v>
      </c>
      <c r="BK7" t="s">
        <v>186</v>
      </c>
      <c r="BL7">
        <v>4</v>
      </c>
      <c r="BM7" t="s">
        <v>206</v>
      </c>
      <c r="BN7">
        <v>1</v>
      </c>
      <c r="BO7" t="s">
        <v>159</v>
      </c>
      <c r="BP7">
        <v>1</v>
      </c>
      <c r="BQ7" t="s">
        <v>192</v>
      </c>
      <c r="BR7">
        <v>1</v>
      </c>
      <c r="BS7" t="s">
        <v>207</v>
      </c>
      <c r="BT7" s="1">
        <v>4.2361111E-2</v>
      </c>
      <c r="BV7">
        <v>1</v>
      </c>
      <c r="BW7">
        <v>1</v>
      </c>
      <c r="BX7" t="s">
        <v>208</v>
      </c>
      <c r="BY7">
        <v>0</v>
      </c>
      <c r="BZ7" t="s">
        <v>181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0</v>
      </c>
      <c r="CN7" t="s">
        <v>164</v>
      </c>
      <c r="CP7">
        <v>0</v>
      </c>
      <c r="CQ7">
        <v>0</v>
      </c>
      <c r="CS7">
        <v>5</v>
      </c>
      <c r="CT7">
        <v>10</v>
      </c>
      <c r="CU7">
        <v>10</v>
      </c>
      <c r="CV7">
        <v>1</v>
      </c>
      <c r="CW7">
        <v>10</v>
      </c>
      <c r="CX7">
        <v>5</v>
      </c>
      <c r="CY7">
        <v>0</v>
      </c>
      <c r="CZ7">
        <v>10</v>
      </c>
      <c r="DA7">
        <v>5</v>
      </c>
      <c r="DB7">
        <v>5</v>
      </c>
      <c r="DC7">
        <v>5</v>
      </c>
      <c r="DD7">
        <v>5</v>
      </c>
      <c r="DE7">
        <v>5</v>
      </c>
      <c r="DF7">
        <v>5</v>
      </c>
      <c r="DG7">
        <v>5</v>
      </c>
      <c r="DH7">
        <v>10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4</v>
      </c>
      <c r="DP7">
        <v>5</v>
      </c>
      <c r="DQ7">
        <v>0</v>
      </c>
      <c r="DR7">
        <v>0</v>
      </c>
      <c r="DS7">
        <v>0</v>
      </c>
      <c r="DT7">
        <v>0</v>
      </c>
      <c r="DU7">
        <v>5</v>
      </c>
      <c r="DV7">
        <v>0</v>
      </c>
      <c r="DW7">
        <v>196</v>
      </c>
      <c r="DX7">
        <v>110</v>
      </c>
      <c r="DY7">
        <v>0.56122446060180697</v>
      </c>
      <c r="DZ7" t="s">
        <v>144</v>
      </c>
      <c r="EA7">
        <v>23408</v>
      </c>
      <c r="EB7" t="s">
        <v>209</v>
      </c>
      <c r="EC7" t="s">
        <v>210</v>
      </c>
    </row>
    <row r="8" spans="1:133" hidden="1" x14ac:dyDescent="0.25">
      <c r="A8">
        <v>3</v>
      </c>
      <c r="B8">
        <v>23414</v>
      </c>
      <c r="C8" t="s">
        <v>132</v>
      </c>
      <c r="D8" t="s">
        <v>192</v>
      </c>
      <c r="E8" t="s">
        <v>193</v>
      </c>
      <c r="F8" t="s">
        <v>194</v>
      </c>
      <c r="G8" s="1">
        <v>9</v>
      </c>
      <c r="H8" t="s">
        <v>195</v>
      </c>
      <c r="I8" t="s">
        <v>140</v>
      </c>
      <c r="L8">
        <v>21059488</v>
      </c>
      <c r="N8" t="s">
        <v>196</v>
      </c>
      <c r="O8">
        <v>2011</v>
      </c>
      <c r="P8" t="s">
        <v>197</v>
      </c>
      <c r="Q8">
        <v>1828</v>
      </c>
      <c r="R8">
        <v>49399</v>
      </c>
      <c r="T8">
        <v>364.06201171875</v>
      </c>
      <c r="U8" t="s">
        <v>140</v>
      </c>
      <c r="W8" t="s">
        <v>211</v>
      </c>
      <c r="Y8" t="s">
        <v>142</v>
      </c>
      <c r="Z8">
        <v>4</v>
      </c>
      <c r="AA8" t="s">
        <v>144</v>
      </c>
      <c r="AB8">
        <v>11</v>
      </c>
      <c r="AC8" t="s">
        <v>144</v>
      </c>
      <c r="AF8" t="s">
        <v>140</v>
      </c>
      <c r="AG8" t="s">
        <v>199</v>
      </c>
      <c r="AH8" t="s">
        <v>140</v>
      </c>
      <c r="AI8" t="s">
        <v>200</v>
      </c>
      <c r="AJ8" t="s">
        <v>201</v>
      </c>
      <c r="AK8" t="s">
        <v>140</v>
      </c>
      <c r="AL8" t="s">
        <v>149</v>
      </c>
      <c r="AM8" t="s">
        <v>140</v>
      </c>
      <c r="AQ8" t="s">
        <v>202</v>
      </c>
      <c r="AR8">
        <v>0.25</v>
      </c>
      <c r="AS8" t="s">
        <v>183</v>
      </c>
      <c r="AT8">
        <v>50</v>
      </c>
      <c r="AU8" t="s">
        <v>203</v>
      </c>
      <c r="AW8">
        <v>5.0000000745058101E-2</v>
      </c>
      <c r="AX8" t="s">
        <v>204</v>
      </c>
      <c r="AY8" t="s">
        <v>140</v>
      </c>
      <c r="AZ8" t="s">
        <v>140</v>
      </c>
      <c r="BA8" t="s">
        <v>193</v>
      </c>
      <c r="BB8" t="s">
        <v>205</v>
      </c>
      <c r="BC8">
        <v>1</v>
      </c>
      <c r="BD8">
        <v>0</v>
      </c>
      <c r="BE8">
        <v>22</v>
      </c>
      <c r="BF8" t="s">
        <v>185</v>
      </c>
      <c r="BG8">
        <v>528</v>
      </c>
      <c r="BI8">
        <v>1</v>
      </c>
      <c r="BJ8">
        <v>4</v>
      </c>
      <c r="BK8" t="s">
        <v>186</v>
      </c>
      <c r="BL8">
        <v>4</v>
      </c>
      <c r="BM8" t="s">
        <v>206</v>
      </c>
      <c r="BN8">
        <v>1</v>
      </c>
      <c r="BO8" t="s">
        <v>159</v>
      </c>
      <c r="BP8">
        <v>1</v>
      </c>
      <c r="BQ8" t="s">
        <v>192</v>
      </c>
      <c r="BR8">
        <v>1</v>
      </c>
      <c r="BS8" t="s">
        <v>207</v>
      </c>
      <c r="BT8" s="1">
        <v>4.2361111E-2</v>
      </c>
      <c r="BV8">
        <v>1</v>
      </c>
      <c r="BW8">
        <v>1</v>
      </c>
      <c r="BX8" t="s">
        <v>208</v>
      </c>
      <c r="BY8">
        <v>0</v>
      </c>
      <c r="BZ8" t="s">
        <v>181</v>
      </c>
      <c r="CG8">
        <v>0</v>
      </c>
      <c r="CH8">
        <v>1</v>
      </c>
      <c r="CI8">
        <v>1</v>
      </c>
      <c r="CJ8">
        <v>0</v>
      </c>
      <c r="CK8">
        <v>0</v>
      </c>
      <c r="CL8">
        <v>0</v>
      </c>
      <c r="CM8">
        <v>0</v>
      </c>
      <c r="CN8" t="s">
        <v>164</v>
      </c>
      <c r="CP8">
        <v>0</v>
      </c>
      <c r="CQ8">
        <v>0</v>
      </c>
      <c r="CS8">
        <v>5</v>
      </c>
      <c r="CT8">
        <v>10</v>
      </c>
      <c r="CU8">
        <v>10</v>
      </c>
      <c r="CV8">
        <v>1</v>
      </c>
      <c r="CW8">
        <v>10</v>
      </c>
      <c r="CX8">
        <v>5</v>
      </c>
      <c r="CY8">
        <v>0</v>
      </c>
      <c r="CZ8">
        <v>10</v>
      </c>
      <c r="DA8">
        <v>5</v>
      </c>
      <c r="DB8">
        <v>5</v>
      </c>
      <c r="DC8">
        <v>5</v>
      </c>
      <c r="DD8">
        <v>5</v>
      </c>
      <c r="DE8">
        <v>5</v>
      </c>
      <c r="DF8">
        <v>5</v>
      </c>
      <c r="DG8">
        <v>5</v>
      </c>
      <c r="DH8">
        <v>10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4</v>
      </c>
      <c r="DP8">
        <v>5</v>
      </c>
      <c r="DQ8">
        <v>0</v>
      </c>
      <c r="DR8">
        <v>0</v>
      </c>
      <c r="DS8">
        <v>0</v>
      </c>
      <c r="DT8">
        <v>0</v>
      </c>
      <c r="DU8">
        <v>5</v>
      </c>
      <c r="DV8">
        <v>0</v>
      </c>
      <c r="DW8">
        <v>196</v>
      </c>
      <c r="DX8">
        <v>110</v>
      </c>
      <c r="DY8">
        <v>0.56122446060180697</v>
      </c>
      <c r="DZ8" t="s">
        <v>144</v>
      </c>
      <c r="EA8">
        <v>23414</v>
      </c>
      <c r="EB8" t="s">
        <v>209</v>
      </c>
      <c r="EC8" t="s">
        <v>210</v>
      </c>
    </row>
    <row r="9" spans="1:133" hidden="1" x14ac:dyDescent="0.25">
      <c r="A9">
        <v>5</v>
      </c>
      <c r="B9">
        <v>23425</v>
      </c>
      <c r="C9" t="s">
        <v>132</v>
      </c>
      <c r="D9" t="s">
        <v>192</v>
      </c>
      <c r="E9" t="s">
        <v>173</v>
      </c>
      <c r="F9" t="s">
        <v>194</v>
      </c>
      <c r="G9" s="1">
        <v>7.3</v>
      </c>
      <c r="H9" t="s">
        <v>195</v>
      </c>
      <c r="I9" t="s">
        <v>140</v>
      </c>
      <c r="L9">
        <v>21059488</v>
      </c>
      <c r="N9" t="s">
        <v>196</v>
      </c>
      <c r="O9">
        <v>2011</v>
      </c>
      <c r="P9" t="s">
        <v>197</v>
      </c>
      <c r="Q9">
        <v>1839</v>
      </c>
      <c r="R9">
        <v>49411</v>
      </c>
      <c r="T9">
        <v>364.06201171875</v>
      </c>
      <c r="U9" t="s">
        <v>140</v>
      </c>
      <c r="W9" t="s">
        <v>198</v>
      </c>
      <c r="Y9" t="s">
        <v>142</v>
      </c>
      <c r="Z9">
        <v>4</v>
      </c>
      <c r="AA9" t="s">
        <v>144</v>
      </c>
      <c r="AB9">
        <v>10</v>
      </c>
      <c r="AC9" t="s">
        <v>180</v>
      </c>
      <c r="AF9" t="s">
        <v>140</v>
      </c>
      <c r="AG9" t="s">
        <v>199</v>
      </c>
      <c r="AH9" t="s">
        <v>140</v>
      </c>
      <c r="AI9" t="s">
        <v>200</v>
      </c>
      <c r="AJ9" t="s">
        <v>201</v>
      </c>
      <c r="AK9" t="s">
        <v>140</v>
      </c>
      <c r="AL9" t="s">
        <v>149</v>
      </c>
      <c r="AM9" t="s">
        <v>140</v>
      </c>
      <c r="AQ9" t="s">
        <v>202</v>
      </c>
      <c r="AR9">
        <v>0.25</v>
      </c>
      <c r="AS9" t="s">
        <v>183</v>
      </c>
      <c r="AT9">
        <v>15</v>
      </c>
      <c r="AU9" t="s">
        <v>203</v>
      </c>
      <c r="AW9">
        <v>1.4999999664723899E-2</v>
      </c>
      <c r="AX9" t="s">
        <v>204</v>
      </c>
      <c r="AY9" t="s">
        <v>140</v>
      </c>
      <c r="AZ9" t="s">
        <v>140</v>
      </c>
      <c r="BA9" t="s">
        <v>173</v>
      </c>
      <c r="BC9">
        <v>1</v>
      </c>
      <c r="BD9">
        <v>1</v>
      </c>
      <c r="BE9">
        <v>18</v>
      </c>
      <c r="BF9" t="s">
        <v>185</v>
      </c>
      <c r="BG9">
        <v>432</v>
      </c>
      <c r="BI9">
        <v>1</v>
      </c>
      <c r="BJ9">
        <v>2</v>
      </c>
      <c r="BK9" t="s">
        <v>186</v>
      </c>
      <c r="BL9">
        <v>2</v>
      </c>
      <c r="BM9" t="s">
        <v>206</v>
      </c>
      <c r="BN9">
        <v>1</v>
      </c>
      <c r="BO9" t="s">
        <v>159</v>
      </c>
      <c r="BP9">
        <v>1</v>
      </c>
      <c r="BQ9" t="s">
        <v>192</v>
      </c>
      <c r="BR9">
        <v>1</v>
      </c>
      <c r="BS9" t="s">
        <v>212</v>
      </c>
      <c r="BT9" s="1">
        <v>4.2361111E-2</v>
      </c>
      <c r="BV9">
        <v>1</v>
      </c>
      <c r="BW9">
        <v>1</v>
      </c>
      <c r="BX9" t="s">
        <v>208</v>
      </c>
      <c r="BY9">
        <v>0</v>
      </c>
      <c r="BZ9" t="s">
        <v>181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 t="s">
        <v>164</v>
      </c>
      <c r="CP9">
        <v>0</v>
      </c>
      <c r="CQ9">
        <v>0</v>
      </c>
      <c r="CS9">
        <v>5</v>
      </c>
      <c r="CT9">
        <v>10</v>
      </c>
      <c r="CU9">
        <v>8</v>
      </c>
      <c r="CV9">
        <v>1</v>
      </c>
      <c r="CW9">
        <v>10</v>
      </c>
      <c r="CX9">
        <v>5</v>
      </c>
      <c r="CY9">
        <v>0</v>
      </c>
      <c r="CZ9">
        <v>10</v>
      </c>
      <c r="DA9">
        <v>5</v>
      </c>
      <c r="DB9">
        <v>5</v>
      </c>
      <c r="DC9">
        <v>5</v>
      </c>
      <c r="DD9">
        <v>5</v>
      </c>
      <c r="DE9">
        <v>5</v>
      </c>
      <c r="DF9">
        <v>5</v>
      </c>
      <c r="DG9">
        <v>5</v>
      </c>
      <c r="DH9">
        <v>10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4</v>
      </c>
      <c r="DP9">
        <v>5</v>
      </c>
      <c r="DQ9">
        <v>0</v>
      </c>
      <c r="DR9">
        <v>0</v>
      </c>
      <c r="DS9">
        <v>0</v>
      </c>
      <c r="DT9">
        <v>0</v>
      </c>
      <c r="DU9">
        <v>5</v>
      </c>
      <c r="DV9">
        <v>0</v>
      </c>
      <c r="DW9">
        <v>181</v>
      </c>
      <c r="DX9">
        <v>108</v>
      </c>
      <c r="DY9">
        <v>0.596685111522675</v>
      </c>
      <c r="DZ9" t="s">
        <v>144</v>
      </c>
      <c r="EA9">
        <v>23425</v>
      </c>
      <c r="EB9" t="s">
        <v>213</v>
      </c>
      <c r="EC9" t="s">
        <v>210</v>
      </c>
    </row>
    <row r="10" spans="1:133" hidden="1" x14ac:dyDescent="0.25">
      <c r="A10">
        <v>8</v>
      </c>
      <c r="B10">
        <v>23432</v>
      </c>
      <c r="C10" t="s">
        <v>132</v>
      </c>
      <c r="D10" t="s">
        <v>192</v>
      </c>
      <c r="E10" t="s">
        <v>173</v>
      </c>
      <c r="F10" t="s">
        <v>194</v>
      </c>
      <c r="G10" s="1">
        <v>2.2999999999999998</v>
      </c>
      <c r="H10" t="s">
        <v>195</v>
      </c>
      <c r="I10" t="s">
        <v>140</v>
      </c>
      <c r="L10">
        <v>21059488</v>
      </c>
      <c r="N10" t="s">
        <v>196</v>
      </c>
      <c r="O10">
        <v>2011</v>
      </c>
      <c r="P10" t="s">
        <v>197</v>
      </c>
      <c r="Q10">
        <v>1846</v>
      </c>
      <c r="R10">
        <v>49418</v>
      </c>
      <c r="T10">
        <v>364.06201171875</v>
      </c>
      <c r="U10" t="s">
        <v>140</v>
      </c>
      <c r="W10" t="s">
        <v>211</v>
      </c>
      <c r="Y10" t="s">
        <v>142</v>
      </c>
      <c r="Z10">
        <v>4</v>
      </c>
      <c r="AA10" t="s">
        <v>144</v>
      </c>
      <c r="AB10">
        <v>10</v>
      </c>
      <c r="AC10" t="s">
        <v>180</v>
      </c>
      <c r="AF10" t="s">
        <v>140</v>
      </c>
      <c r="AG10" t="s">
        <v>199</v>
      </c>
      <c r="AH10" t="s">
        <v>140</v>
      </c>
      <c r="AI10" t="s">
        <v>200</v>
      </c>
      <c r="AJ10" t="s">
        <v>201</v>
      </c>
      <c r="AK10" t="s">
        <v>140</v>
      </c>
      <c r="AL10" t="s">
        <v>149</v>
      </c>
      <c r="AM10" t="s">
        <v>140</v>
      </c>
      <c r="AQ10" t="s">
        <v>202</v>
      </c>
      <c r="AR10">
        <v>0.25</v>
      </c>
      <c r="AS10" t="s">
        <v>183</v>
      </c>
      <c r="AT10">
        <v>15</v>
      </c>
      <c r="AU10" t="s">
        <v>203</v>
      </c>
      <c r="AW10">
        <v>1.4999999664723899E-2</v>
      </c>
      <c r="AX10" t="s">
        <v>204</v>
      </c>
      <c r="AY10" t="s">
        <v>140</v>
      </c>
      <c r="AZ10" t="s">
        <v>140</v>
      </c>
      <c r="BA10" t="s">
        <v>173</v>
      </c>
      <c r="BC10">
        <v>1</v>
      </c>
      <c r="BD10">
        <v>1</v>
      </c>
      <c r="BE10">
        <v>18</v>
      </c>
      <c r="BF10" t="s">
        <v>185</v>
      </c>
      <c r="BG10">
        <v>432</v>
      </c>
      <c r="BI10">
        <v>1</v>
      </c>
      <c r="BJ10">
        <v>2</v>
      </c>
      <c r="BK10" t="s">
        <v>186</v>
      </c>
      <c r="BL10">
        <v>2</v>
      </c>
      <c r="BM10" t="s">
        <v>206</v>
      </c>
      <c r="BN10">
        <v>1</v>
      </c>
      <c r="BO10" t="s">
        <v>159</v>
      </c>
      <c r="BP10">
        <v>1</v>
      </c>
      <c r="BQ10" t="s">
        <v>192</v>
      </c>
      <c r="BR10">
        <v>1</v>
      </c>
      <c r="BS10" t="s">
        <v>212</v>
      </c>
      <c r="BT10" s="1">
        <v>4.2361111E-2</v>
      </c>
      <c r="BV10">
        <v>1</v>
      </c>
      <c r="BW10">
        <v>1</v>
      </c>
      <c r="BX10" t="s">
        <v>208</v>
      </c>
      <c r="BY10">
        <v>0</v>
      </c>
      <c r="BZ10" t="s">
        <v>181</v>
      </c>
      <c r="CG10">
        <v>0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 t="s">
        <v>164</v>
      </c>
      <c r="CP10">
        <v>0</v>
      </c>
      <c r="CQ10">
        <v>0</v>
      </c>
      <c r="CS10">
        <v>5</v>
      </c>
      <c r="CT10">
        <v>10</v>
      </c>
      <c r="CU10">
        <v>8</v>
      </c>
      <c r="CV10">
        <v>1</v>
      </c>
      <c r="CW10">
        <v>10</v>
      </c>
      <c r="CX10">
        <v>5</v>
      </c>
      <c r="CY10">
        <v>0</v>
      </c>
      <c r="CZ10">
        <v>10</v>
      </c>
      <c r="DA10">
        <v>5</v>
      </c>
      <c r="DB10">
        <v>5</v>
      </c>
      <c r="DC10">
        <v>5</v>
      </c>
      <c r="DD10">
        <v>5</v>
      </c>
      <c r="DE10">
        <v>5</v>
      </c>
      <c r="DF10">
        <v>5</v>
      </c>
      <c r="DG10">
        <v>5</v>
      </c>
      <c r="DH10">
        <v>10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4</v>
      </c>
      <c r="DP10">
        <v>5</v>
      </c>
      <c r="DQ10">
        <v>0</v>
      </c>
      <c r="DR10">
        <v>0</v>
      </c>
      <c r="DS10">
        <v>0</v>
      </c>
      <c r="DT10">
        <v>0</v>
      </c>
      <c r="DU10">
        <v>5</v>
      </c>
      <c r="DV10">
        <v>0</v>
      </c>
      <c r="DW10">
        <v>181</v>
      </c>
      <c r="DX10">
        <v>108</v>
      </c>
      <c r="DY10">
        <v>0.596685111522675</v>
      </c>
      <c r="DZ10" t="s">
        <v>144</v>
      </c>
      <c r="EA10">
        <v>23432</v>
      </c>
      <c r="EB10" t="s">
        <v>213</v>
      </c>
      <c r="EC10" t="s">
        <v>210</v>
      </c>
    </row>
    <row r="11" spans="1:133" hidden="1" x14ac:dyDescent="0.25">
      <c r="A11">
        <v>54</v>
      </c>
      <c r="B11">
        <v>25987</v>
      </c>
      <c r="C11" t="s">
        <v>132</v>
      </c>
      <c r="D11" t="s">
        <v>192</v>
      </c>
      <c r="E11" t="s">
        <v>193</v>
      </c>
      <c r="F11" t="s">
        <v>194</v>
      </c>
      <c r="G11" s="1">
        <v>6.1</v>
      </c>
      <c r="H11" t="s">
        <v>195</v>
      </c>
      <c r="L11">
        <v>17695932</v>
      </c>
      <c r="N11" t="s">
        <v>196</v>
      </c>
      <c r="O11">
        <v>2007</v>
      </c>
      <c r="P11" t="s">
        <v>139</v>
      </c>
      <c r="Q11">
        <v>4401</v>
      </c>
      <c r="R11">
        <v>100854</v>
      </c>
      <c r="T11">
        <v>364.05999755859398</v>
      </c>
      <c r="U11" t="s">
        <v>177</v>
      </c>
      <c r="W11" t="s">
        <v>214</v>
      </c>
      <c r="X11">
        <v>544.09997558593795</v>
      </c>
      <c r="Y11" t="s">
        <v>142</v>
      </c>
      <c r="Z11">
        <v>4</v>
      </c>
      <c r="AA11" t="s">
        <v>144</v>
      </c>
      <c r="AB11">
        <v>8</v>
      </c>
      <c r="AC11" t="s">
        <v>180</v>
      </c>
      <c r="AD11">
        <v>97</v>
      </c>
      <c r="AF11" t="s">
        <v>140</v>
      </c>
      <c r="AG11" t="s">
        <v>146</v>
      </c>
      <c r="AH11" t="s">
        <v>140</v>
      </c>
      <c r="AJ11" t="s">
        <v>147</v>
      </c>
      <c r="AK11" t="s">
        <v>148</v>
      </c>
      <c r="AL11" t="s">
        <v>149</v>
      </c>
      <c r="AM11" t="s">
        <v>140</v>
      </c>
      <c r="AN11" t="s">
        <v>150</v>
      </c>
      <c r="AO11" t="s">
        <v>215</v>
      </c>
      <c r="AQ11" t="s">
        <v>181</v>
      </c>
      <c r="AR11">
        <v>0.25</v>
      </c>
      <c r="AS11" t="s">
        <v>183</v>
      </c>
      <c r="AT11">
        <v>200</v>
      </c>
      <c r="AU11" t="s">
        <v>155</v>
      </c>
      <c r="AW11">
        <v>200</v>
      </c>
      <c r="AX11" t="s">
        <v>155</v>
      </c>
      <c r="AZ11" t="s">
        <v>140</v>
      </c>
      <c r="BA11" t="s">
        <v>193</v>
      </c>
      <c r="BB11" t="s">
        <v>205</v>
      </c>
      <c r="BC11">
        <v>1</v>
      </c>
      <c r="BD11">
        <v>0</v>
      </c>
      <c r="BE11">
        <v>15</v>
      </c>
      <c r="BF11" t="s">
        <v>185</v>
      </c>
      <c r="BG11">
        <v>360</v>
      </c>
      <c r="BI11">
        <v>1</v>
      </c>
      <c r="BJ11">
        <v>5</v>
      </c>
      <c r="BK11" t="s">
        <v>186</v>
      </c>
      <c r="BL11">
        <v>5</v>
      </c>
      <c r="BM11" t="s">
        <v>186</v>
      </c>
      <c r="BN11">
        <v>1</v>
      </c>
      <c r="BO11" t="s">
        <v>159</v>
      </c>
      <c r="BP11">
        <v>1</v>
      </c>
      <c r="BQ11" t="s">
        <v>192</v>
      </c>
      <c r="BR11">
        <v>1</v>
      </c>
      <c r="BS11" t="s">
        <v>216</v>
      </c>
      <c r="BT11" s="1">
        <v>5.0000000000000001E-3</v>
      </c>
      <c r="BV11">
        <v>1</v>
      </c>
      <c r="BW11">
        <v>1</v>
      </c>
      <c r="BX11" t="s">
        <v>217</v>
      </c>
      <c r="BY11">
        <v>0</v>
      </c>
      <c r="CG11">
        <v>0</v>
      </c>
      <c r="CH11">
        <v>1</v>
      </c>
      <c r="CI11">
        <v>1</v>
      </c>
      <c r="CJ11">
        <v>0</v>
      </c>
      <c r="CK11">
        <v>0</v>
      </c>
      <c r="CL11">
        <v>0</v>
      </c>
      <c r="CM11">
        <v>0</v>
      </c>
      <c r="CN11" t="s">
        <v>164</v>
      </c>
      <c r="CO11" t="s">
        <v>218</v>
      </c>
      <c r="CP11">
        <v>0</v>
      </c>
      <c r="CQ11">
        <v>0</v>
      </c>
      <c r="CS11">
        <v>5</v>
      </c>
      <c r="CT11">
        <v>10</v>
      </c>
      <c r="CU11">
        <v>8</v>
      </c>
      <c r="CV11">
        <v>3</v>
      </c>
      <c r="CW11">
        <v>10</v>
      </c>
      <c r="CX11">
        <v>3</v>
      </c>
      <c r="CY11">
        <v>0</v>
      </c>
      <c r="CZ11">
        <v>10</v>
      </c>
      <c r="DA11">
        <v>5</v>
      </c>
      <c r="DB11">
        <v>5</v>
      </c>
      <c r="DC11">
        <v>5</v>
      </c>
      <c r="DD11">
        <v>5</v>
      </c>
      <c r="DE11">
        <v>5</v>
      </c>
      <c r="DF11">
        <v>5</v>
      </c>
      <c r="DG11">
        <v>5</v>
      </c>
      <c r="DH11">
        <v>10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4</v>
      </c>
      <c r="DP11">
        <v>5</v>
      </c>
      <c r="DQ11">
        <v>0</v>
      </c>
      <c r="DR11">
        <v>0</v>
      </c>
      <c r="DS11">
        <v>0</v>
      </c>
      <c r="DT11">
        <v>0</v>
      </c>
      <c r="DU11">
        <v>5</v>
      </c>
      <c r="DV11">
        <v>0</v>
      </c>
      <c r="DW11">
        <v>196</v>
      </c>
      <c r="DX11">
        <v>108</v>
      </c>
      <c r="DY11">
        <v>0.55102038383483898</v>
      </c>
      <c r="DZ11" t="s">
        <v>144</v>
      </c>
      <c r="EA11">
        <v>25987</v>
      </c>
      <c r="EB11" t="s">
        <v>219</v>
      </c>
      <c r="EC11" t="s">
        <v>167</v>
      </c>
    </row>
    <row r="12" spans="1:133" hidden="1" x14ac:dyDescent="0.25">
      <c r="A12">
        <v>46</v>
      </c>
      <c r="B12">
        <v>25775</v>
      </c>
      <c r="C12" t="s">
        <v>132</v>
      </c>
      <c r="D12" t="s">
        <v>133</v>
      </c>
      <c r="E12" t="s">
        <v>173</v>
      </c>
      <c r="F12" t="s">
        <v>220</v>
      </c>
      <c r="G12" s="1">
        <v>2.6160000000000001</v>
      </c>
      <c r="H12" t="s">
        <v>156</v>
      </c>
      <c r="L12">
        <v>12499116</v>
      </c>
      <c r="N12" t="s">
        <v>176</v>
      </c>
      <c r="O12">
        <v>2003</v>
      </c>
      <c r="P12" t="s">
        <v>139</v>
      </c>
      <c r="Q12">
        <v>4189</v>
      </c>
      <c r="R12">
        <v>100200</v>
      </c>
      <c r="T12">
        <v>364.05999755859398</v>
      </c>
      <c r="U12" t="s">
        <v>177</v>
      </c>
      <c r="W12" t="s">
        <v>178</v>
      </c>
      <c r="Y12" t="s">
        <v>179</v>
      </c>
      <c r="Z12">
        <v>3</v>
      </c>
      <c r="AA12" t="s">
        <v>180</v>
      </c>
      <c r="AB12" t="s">
        <v>181</v>
      </c>
      <c r="AE12" t="s">
        <v>181</v>
      </c>
      <c r="AF12" t="s">
        <v>140</v>
      </c>
      <c r="AG12" t="s">
        <v>182</v>
      </c>
      <c r="AH12" t="s">
        <v>140</v>
      </c>
      <c r="AJ12" t="s">
        <v>147</v>
      </c>
      <c r="AK12" t="s">
        <v>148</v>
      </c>
      <c r="AL12" t="s">
        <v>149</v>
      </c>
      <c r="AM12" t="s">
        <v>140</v>
      </c>
      <c r="AN12" t="s">
        <v>150</v>
      </c>
      <c r="AO12" t="s">
        <v>151</v>
      </c>
      <c r="AQ12" t="s">
        <v>181</v>
      </c>
      <c r="AR12">
        <v>0.25</v>
      </c>
      <c r="AS12" t="s">
        <v>183</v>
      </c>
      <c r="AT12">
        <v>48.64</v>
      </c>
      <c r="AU12" t="s">
        <v>184</v>
      </c>
      <c r="AW12">
        <v>17.707878112793001</v>
      </c>
      <c r="AX12" t="s">
        <v>155</v>
      </c>
      <c r="AZ12" t="s">
        <v>140</v>
      </c>
      <c r="BA12" t="s">
        <v>173</v>
      </c>
      <c r="BC12">
        <v>1</v>
      </c>
      <c r="BD12">
        <v>1</v>
      </c>
      <c r="BE12">
        <v>1</v>
      </c>
      <c r="BF12" t="s">
        <v>185</v>
      </c>
      <c r="BG12">
        <v>24</v>
      </c>
      <c r="BI12">
        <v>1</v>
      </c>
      <c r="BJ12">
        <v>2.5</v>
      </c>
      <c r="BK12" t="s">
        <v>186</v>
      </c>
      <c r="BL12">
        <v>2.5</v>
      </c>
      <c r="BM12" t="s">
        <v>186</v>
      </c>
      <c r="BN12">
        <v>1</v>
      </c>
      <c r="BO12" t="s">
        <v>159</v>
      </c>
      <c r="BP12">
        <v>1</v>
      </c>
      <c r="BQ12" t="s">
        <v>133</v>
      </c>
      <c r="BR12">
        <v>1</v>
      </c>
      <c r="BS12" t="s">
        <v>187</v>
      </c>
      <c r="BV12">
        <v>1</v>
      </c>
      <c r="BW12">
        <v>0</v>
      </c>
      <c r="BX12" t="s">
        <v>181</v>
      </c>
      <c r="BZ12" t="s">
        <v>188</v>
      </c>
      <c r="CA12" t="s">
        <v>189</v>
      </c>
      <c r="CB12" t="s">
        <v>140</v>
      </c>
      <c r="CC12" t="s">
        <v>140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 t="s">
        <v>164</v>
      </c>
      <c r="CO12" t="s">
        <v>190</v>
      </c>
      <c r="CP12">
        <v>0</v>
      </c>
      <c r="CQ12">
        <v>0</v>
      </c>
      <c r="CS12">
        <v>5</v>
      </c>
      <c r="CT12">
        <v>5</v>
      </c>
      <c r="CU12">
        <v>0</v>
      </c>
      <c r="CV12">
        <v>1</v>
      </c>
      <c r="CW12">
        <v>10</v>
      </c>
      <c r="CX12">
        <v>3</v>
      </c>
      <c r="CY12">
        <v>0</v>
      </c>
      <c r="CZ12">
        <v>10</v>
      </c>
      <c r="DA12">
        <v>5</v>
      </c>
      <c r="DB12">
        <v>5</v>
      </c>
      <c r="DC12">
        <v>5</v>
      </c>
      <c r="DD12">
        <v>5</v>
      </c>
      <c r="DE12">
        <v>5</v>
      </c>
      <c r="DF12">
        <v>5</v>
      </c>
      <c r="DG12">
        <v>0</v>
      </c>
      <c r="DH12">
        <v>2</v>
      </c>
      <c r="DI12">
        <v>5</v>
      </c>
      <c r="DJ12">
        <v>10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0</v>
      </c>
      <c r="DU12">
        <v>5</v>
      </c>
      <c r="DV12">
        <v>0</v>
      </c>
      <c r="DW12">
        <v>181</v>
      </c>
      <c r="DX12">
        <v>96</v>
      </c>
      <c r="DY12">
        <v>0.53038674592971802</v>
      </c>
      <c r="DZ12" t="s">
        <v>144</v>
      </c>
      <c r="EA12">
        <v>25775</v>
      </c>
      <c r="EB12" t="s">
        <v>191</v>
      </c>
      <c r="EC12" t="s">
        <v>167</v>
      </c>
    </row>
    <row r="13" spans="1:133" hidden="1" x14ac:dyDescent="0.25">
      <c r="A13">
        <v>49</v>
      </c>
      <c r="B13">
        <v>25776</v>
      </c>
      <c r="C13" t="s">
        <v>132</v>
      </c>
      <c r="D13" t="s">
        <v>133</v>
      </c>
      <c r="E13" t="s">
        <v>173</v>
      </c>
      <c r="F13" t="s">
        <v>220</v>
      </c>
      <c r="G13" s="1">
        <v>1.4159999999999999</v>
      </c>
      <c r="H13" t="s">
        <v>156</v>
      </c>
      <c r="L13">
        <v>12499116</v>
      </c>
      <c r="N13" t="s">
        <v>176</v>
      </c>
      <c r="O13">
        <v>2003</v>
      </c>
      <c r="P13" t="s">
        <v>139</v>
      </c>
      <c r="Q13">
        <v>4190</v>
      </c>
      <c r="R13">
        <v>100201</v>
      </c>
      <c r="T13">
        <v>364.05999755859398</v>
      </c>
      <c r="U13" t="s">
        <v>177</v>
      </c>
      <c r="W13" t="s">
        <v>178</v>
      </c>
      <c r="Y13" t="s">
        <v>179</v>
      </c>
      <c r="Z13">
        <v>3</v>
      </c>
      <c r="AA13" t="s">
        <v>180</v>
      </c>
      <c r="AB13" t="s">
        <v>181</v>
      </c>
      <c r="AE13" t="s">
        <v>181</v>
      </c>
      <c r="AF13" t="s">
        <v>140</v>
      </c>
      <c r="AG13" t="s">
        <v>182</v>
      </c>
      <c r="AH13" t="s">
        <v>140</v>
      </c>
      <c r="AJ13" t="s">
        <v>147</v>
      </c>
      <c r="AK13" t="s">
        <v>148</v>
      </c>
      <c r="AL13" t="s">
        <v>170</v>
      </c>
      <c r="AM13" t="s">
        <v>140</v>
      </c>
      <c r="AN13" t="s">
        <v>150</v>
      </c>
      <c r="AO13" t="s">
        <v>151</v>
      </c>
      <c r="AQ13" t="s">
        <v>181</v>
      </c>
      <c r="AR13">
        <v>0.25</v>
      </c>
      <c r="AS13" t="s">
        <v>183</v>
      </c>
      <c r="AT13">
        <v>48.64</v>
      </c>
      <c r="AU13" t="s">
        <v>184</v>
      </c>
      <c r="AW13">
        <v>17.707878112793001</v>
      </c>
      <c r="AX13" t="s">
        <v>155</v>
      </c>
      <c r="AZ13" t="s">
        <v>140</v>
      </c>
      <c r="BA13" t="s">
        <v>173</v>
      </c>
      <c r="BC13">
        <v>1</v>
      </c>
      <c r="BD13">
        <v>1</v>
      </c>
      <c r="BE13">
        <v>1</v>
      </c>
      <c r="BF13" t="s">
        <v>185</v>
      </c>
      <c r="BG13">
        <v>24</v>
      </c>
      <c r="BI13">
        <v>1</v>
      </c>
      <c r="BJ13">
        <v>2.5</v>
      </c>
      <c r="BK13" t="s">
        <v>186</v>
      </c>
      <c r="BL13">
        <v>2.5</v>
      </c>
      <c r="BM13" t="s">
        <v>186</v>
      </c>
      <c r="BN13">
        <v>1</v>
      </c>
      <c r="BO13" t="s">
        <v>159</v>
      </c>
      <c r="BP13">
        <v>1</v>
      </c>
      <c r="BQ13" t="s">
        <v>133</v>
      </c>
      <c r="BR13">
        <v>1</v>
      </c>
      <c r="BS13" t="s">
        <v>187</v>
      </c>
      <c r="BV13">
        <v>1</v>
      </c>
      <c r="BW13">
        <v>0</v>
      </c>
      <c r="BX13" t="s">
        <v>181</v>
      </c>
      <c r="BZ13" t="s">
        <v>188</v>
      </c>
      <c r="CA13" t="s">
        <v>189</v>
      </c>
      <c r="CB13" t="s">
        <v>140</v>
      </c>
      <c r="CC13" t="s">
        <v>140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 t="s">
        <v>164</v>
      </c>
      <c r="CO13" t="s">
        <v>190</v>
      </c>
      <c r="CP13">
        <v>0</v>
      </c>
      <c r="CQ13">
        <v>0</v>
      </c>
      <c r="CS13">
        <v>5</v>
      </c>
      <c r="CT13">
        <v>5</v>
      </c>
      <c r="CU13">
        <v>0</v>
      </c>
      <c r="CV13">
        <v>1</v>
      </c>
      <c r="CW13">
        <v>10</v>
      </c>
      <c r="CX13">
        <v>3</v>
      </c>
      <c r="CY13">
        <v>0</v>
      </c>
      <c r="CZ13">
        <v>10</v>
      </c>
      <c r="DA13">
        <v>5</v>
      </c>
      <c r="DB13">
        <v>5</v>
      </c>
      <c r="DC13">
        <v>5</v>
      </c>
      <c r="DD13">
        <v>5</v>
      </c>
      <c r="DE13">
        <v>5</v>
      </c>
      <c r="DF13">
        <v>5</v>
      </c>
      <c r="DG13">
        <v>0</v>
      </c>
      <c r="DH13">
        <v>2</v>
      </c>
      <c r="DI13">
        <v>5</v>
      </c>
      <c r="DJ13">
        <v>10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0</v>
      </c>
      <c r="DU13">
        <v>5</v>
      </c>
      <c r="DV13">
        <v>0</v>
      </c>
      <c r="DW13">
        <v>181</v>
      </c>
      <c r="DX13">
        <v>96</v>
      </c>
      <c r="DY13">
        <v>0.53038674592971802</v>
      </c>
      <c r="DZ13" t="s">
        <v>144</v>
      </c>
      <c r="EA13">
        <v>25776</v>
      </c>
      <c r="EB13" t="s">
        <v>191</v>
      </c>
      <c r="EC13" t="s">
        <v>167</v>
      </c>
    </row>
    <row r="14" spans="1:133" hidden="1" x14ac:dyDescent="0.25">
      <c r="A14">
        <v>9</v>
      </c>
      <c r="B14">
        <v>23458</v>
      </c>
      <c r="C14" t="s">
        <v>132</v>
      </c>
      <c r="D14" t="s">
        <v>133</v>
      </c>
      <c r="E14" t="s">
        <v>134</v>
      </c>
      <c r="F14" t="s">
        <v>221</v>
      </c>
      <c r="G14" s="1">
        <v>15.4</v>
      </c>
      <c r="H14" t="s">
        <v>156</v>
      </c>
      <c r="I14" t="s">
        <v>140</v>
      </c>
      <c r="L14">
        <v>25180935</v>
      </c>
      <c r="N14" t="s">
        <v>222</v>
      </c>
      <c r="O14">
        <v>2015</v>
      </c>
      <c r="P14" t="s">
        <v>197</v>
      </c>
      <c r="Q14">
        <v>1872</v>
      </c>
      <c r="R14">
        <v>49448</v>
      </c>
      <c r="T14">
        <v>364.06201171875</v>
      </c>
      <c r="U14" t="s">
        <v>140</v>
      </c>
      <c r="W14" t="s">
        <v>223</v>
      </c>
      <c r="Y14" t="s">
        <v>179</v>
      </c>
      <c r="AF14" t="s">
        <v>140</v>
      </c>
      <c r="AJ14" t="s">
        <v>147</v>
      </c>
      <c r="AK14" t="s">
        <v>148</v>
      </c>
      <c r="AL14" t="s">
        <v>149</v>
      </c>
      <c r="AM14" t="s">
        <v>140</v>
      </c>
      <c r="AQ14" t="s">
        <v>202</v>
      </c>
      <c r="AR14">
        <v>0.25</v>
      </c>
      <c r="AS14" t="s">
        <v>183</v>
      </c>
      <c r="AT14">
        <v>0.5</v>
      </c>
      <c r="AU14" t="s">
        <v>224</v>
      </c>
      <c r="AW14">
        <v>0.5</v>
      </c>
      <c r="AX14" t="s">
        <v>224</v>
      </c>
      <c r="AY14" t="s">
        <v>140</v>
      </c>
      <c r="AZ14" t="s">
        <v>140</v>
      </c>
      <c r="BA14" t="s">
        <v>134</v>
      </c>
      <c r="BC14">
        <v>1</v>
      </c>
      <c r="BD14">
        <v>0</v>
      </c>
      <c r="BE14">
        <v>6</v>
      </c>
      <c r="BF14" t="s">
        <v>156</v>
      </c>
      <c r="BG14">
        <v>6</v>
      </c>
      <c r="BI14">
        <v>1</v>
      </c>
      <c r="BO14" t="s">
        <v>159</v>
      </c>
      <c r="BP14">
        <v>1</v>
      </c>
      <c r="BQ14" t="s">
        <v>133</v>
      </c>
      <c r="BR14">
        <v>1</v>
      </c>
      <c r="BV14">
        <v>0</v>
      </c>
      <c r="BW14">
        <v>1</v>
      </c>
      <c r="BX14" t="s">
        <v>181</v>
      </c>
      <c r="BZ14" t="s">
        <v>162</v>
      </c>
      <c r="CB14" t="s">
        <v>140</v>
      </c>
      <c r="CD14" t="s">
        <v>177</v>
      </c>
      <c r="CE14" t="s">
        <v>140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164</v>
      </c>
      <c r="CP14">
        <v>0</v>
      </c>
      <c r="CQ14">
        <v>0</v>
      </c>
      <c r="CS14">
        <v>5</v>
      </c>
      <c r="CT14">
        <v>0</v>
      </c>
      <c r="CU14">
        <v>0</v>
      </c>
      <c r="CV14">
        <v>1</v>
      </c>
      <c r="CW14">
        <v>10</v>
      </c>
      <c r="CX14">
        <v>1</v>
      </c>
      <c r="CY14">
        <v>0</v>
      </c>
      <c r="CZ14">
        <v>10</v>
      </c>
      <c r="DA14">
        <v>0</v>
      </c>
      <c r="DB14">
        <v>5</v>
      </c>
      <c r="DC14">
        <v>5</v>
      </c>
      <c r="DD14">
        <v>5</v>
      </c>
      <c r="DE14">
        <v>5</v>
      </c>
      <c r="DF14">
        <v>0</v>
      </c>
      <c r="DG14">
        <v>5</v>
      </c>
      <c r="DH14">
        <v>2</v>
      </c>
      <c r="DI14">
        <v>5</v>
      </c>
      <c r="DJ14">
        <v>0</v>
      </c>
      <c r="DK14">
        <v>5</v>
      </c>
      <c r="DL14">
        <v>10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5</v>
      </c>
      <c r="DV14">
        <v>0</v>
      </c>
      <c r="DW14">
        <v>196</v>
      </c>
      <c r="DX14">
        <v>79</v>
      </c>
      <c r="DY14">
        <v>0.40306121110916099</v>
      </c>
      <c r="DZ14" t="s">
        <v>145</v>
      </c>
      <c r="EA14">
        <v>23458</v>
      </c>
      <c r="EB14" t="s">
        <v>225</v>
      </c>
      <c r="EC14" t="s">
        <v>210</v>
      </c>
    </row>
    <row r="15" spans="1:133" hidden="1" x14ac:dyDescent="0.25">
      <c r="A15">
        <v>12</v>
      </c>
      <c r="B15">
        <v>23459</v>
      </c>
      <c r="C15" t="s">
        <v>132</v>
      </c>
      <c r="D15" t="s">
        <v>133</v>
      </c>
      <c r="E15" t="s">
        <v>134</v>
      </c>
      <c r="F15" t="s">
        <v>221</v>
      </c>
      <c r="G15" s="1">
        <v>23.3</v>
      </c>
      <c r="H15" t="s">
        <v>156</v>
      </c>
      <c r="I15" t="s">
        <v>140</v>
      </c>
      <c r="L15">
        <v>25180935</v>
      </c>
      <c r="N15" t="s">
        <v>222</v>
      </c>
      <c r="O15">
        <v>2015</v>
      </c>
      <c r="P15" t="s">
        <v>197</v>
      </c>
      <c r="Q15">
        <v>1873</v>
      </c>
      <c r="R15">
        <v>49449</v>
      </c>
      <c r="T15">
        <v>364.06201171875</v>
      </c>
      <c r="U15" t="s">
        <v>140</v>
      </c>
      <c r="W15" t="s">
        <v>223</v>
      </c>
      <c r="Y15" t="s">
        <v>179</v>
      </c>
      <c r="AF15" t="s">
        <v>140</v>
      </c>
      <c r="AJ15" t="s">
        <v>147</v>
      </c>
      <c r="AK15" t="s">
        <v>148</v>
      </c>
      <c r="AL15" t="s">
        <v>149</v>
      </c>
      <c r="AM15" t="s">
        <v>140</v>
      </c>
      <c r="AQ15" t="s">
        <v>202</v>
      </c>
      <c r="AR15">
        <v>0.25</v>
      </c>
      <c r="AS15" t="s">
        <v>183</v>
      </c>
      <c r="AT15">
        <v>5</v>
      </c>
      <c r="AU15" t="s">
        <v>224</v>
      </c>
      <c r="AW15">
        <v>5</v>
      </c>
      <c r="AX15" t="s">
        <v>224</v>
      </c>
      <c r="AY15" t="s">
        <v>140</v>
      </c>
      <c r="AZ15" t="s">
        <v>140</v>
      </c>
      <c r="BA15" t="s">
        <v>134</v>
      </c>
      <c r="BC15">
        <v>1</v>
      </c>
      <c r="BD15">
        <v>0</v>
      </c>
      <c r="BE15">
        <v>6</v>
      </c>
      <c r="BF15" t="s">
        <v>156</v>
      </c>
      <c r="BG15">
        <v>6</v>
      </c>
      <c r="BI15">
        <v>1</v>
      </c>
      <c r="BO15" t="s">
        <v>159</v>
      </c>
      <c r="BP15">
        <v>1</v>
      </c>
      <c r="BQ15" t="s">
        <v>133</v>
      </c>
      <c r="BR15">
        <v>1</v>
      </c>
      <c r="BV15">
        <v>0</v>
      </c>
      <c r="BW15">
        <v>1</v>
      </c>
      <c r="BX15" t="s">
        <v>181</v>
      </c>
      <c r="BZ15" t="s">
        <v>162</v>
      </c>
      <c r="CB15" t="s">
        <v>140</v>
      </c>
      <c r="CD15" t="s">
        <v>177</v>
      </c>
      <c r="CE15" t="s">
        <v>140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164</v>
      </c>
      <c r="CP15">
        <v>0</v>
      </c>
      <c r="CQ15">
        <v>0</v>
      </c>
      <c r="CS15">
        <v>5</v>
      </c>
      <c r="CT15">
        <v>0</v>
      </c>
      <c r="CU15">
        <v>0</v>
      </c>
      <c r="CV15">
        <v>1</v>
      </c>
      <c r="CW15">
        <v>10</v>
      </c>
      <c r="CX15">
        <v>1</v>
      </c>
      <c r="CY15">
        <v>0</v>
      </c>
      <c r="CZ15">
        <v>10</v>
      </c>
      <c r="DA15">
        <v>0</v>
      </c>
      <c r="DB15">
        <v>5</v>
      </c>
      <c r="DC15">
        <v>5</v>
      </c>
      <c r="DD15">
        <v>5</v>
      </c>
      <c r="DE15">
        <v>5</v>
      </c>
      <c r="DF15">
        <v>0</v>
      </c>
      <c r="DG15">
        <v>5</v>
      </c>
      <c r="DH15">
        <v>2</v>
      </c>
      <c r="DI15">
        <v>5</v>
      </c>
      <c r="DJ15">
        <v>0</v>
      </c>
      <c r="DK15">
        <v>5</v>
      </c>
      <c r="DL15">
        <v>10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5</v>
      </c>
      <c r="DV15">
        <v>0</v>
      </c>
      <c r="DW15">
        <v>196</v>
      </c>
      <c r="DX15">
        <v>79</v>
      </c>
      <c r="DY15">
        <v>0.40306121110916099</v>
      </c>
      <c r="DZ15" t="s">
        <v>145</v>
      </c>
      <c r="EA15">
        <v>23459</v>
      </c>
      <c r="EB15" t="s">
        <v>226</v>
      </c>
      <c r="EC15" t="s">
        <v>210</v>
      </c>
    </row>
    <row r="16" spans="1:133" hidden="1" x14ac:dyDescent="0.25">
      <c r="A16">
        <v>15</v>
      </c>
      <c r="B16">
        <v>23460</v>
      </c>
      <c r="C16" t="s">
        <v>132</v>
      </c>
      <c r="D16" t="s">
        <v>133</v>
      </c>
      <c r="E16" t="s">
        <v>134</v>
      </c>
      <c r="F16" t="s">
        <v>221</v>
      </c>
      <c r="G16" s="1">
        <v>2.1</v>
      </c>
      <c r="H16" t="s">
        <v>156</v>
      </c>
      <c r="I16" t="s">
        <v>140</v>
      </c>
      <c r="L16">
        <v>25180935</v>
      </c>
      <c r="N16" t="s">
        <v>222</v>
      </c>
      <c r="O16">
        <v>2015</v>
      </c>
      <c r="P16" t="s">
        <v>197</v>
      </c>
      <c r="Q16">
        <v>1874</v>
      </c>
      <c r="R16">
        <v>49450</v>
      </c>
      <c r="T16">
        <v>364.06201171875</v>
      </c>
      <c r="U16" t="s">
        <v>140</v>
      </c>
      <c r="W16" t="s">
        <v>223</v>
      </c>
      <c r="Y16" t="s">
        <v>179</v>
      </c>
      <c r="AF16" t="s">
        <v>140</v>
      </c>
      <c r="AJ16" t="s">
        <v>147</v>
      </c>
      <c r="AK16" t="s">
        <v>148</v>
      </c>
      <c r="AL16" t="s">
        <v>170</v>
      </c>
      <c r="AM16" t="s">
        <v>140</v>
      </c>
      <c r="AQ16" t="s">
        <v>202</v>
      </c>
      <c r="AR16">
        <v>0.25</v>
      </c>
      <c r="AS16" t="s">
        <v>183</v>
      </c>
      <c r="AT16">
        <v>0.5</v>
      </c>
      <c r="AU16" t="s">
        <v>224</v>
      </c>
      <c r="AW16">
        <v>0.5</v>
      </c>
      <c r="AX16" t="s">
        <v>224</v>
      </c>
      <c r="AY16" t="s">
        <v>140</v>
      </c>
      <c r="AZ16" t="s">
        <v>140</v>
      </c>
      <c r="BA16" t="s">
        <v>134</v>
      </c>
      <c r="BC16">
        <v>1</v>
      </c>
      <c r="BD16">
        <v>0</v>
      </c>
      <c r="BE16">
        <v>6</v>
      </c>
      <c r="BF16" t="s">
        <v>156</v>
      </c>
      <c r="BG16">
        <v>6</v>
      </c>
      <c r="BI16">
        <v>1</v>
      </c>
      <c r="BO16" t="s">
        <v>159</v>
      </c>
      <c r="BP16">
        <v>1</v>
      </c>
      <c r="BQ16" t="s">
        <v>133</v>
      </c>
      <c r="BR16">
        <v>1</v>
      </c>
      <c r="BV16">
        <v>0</v>
      </c>
      <c r="BW16">
        <v>1</v>
      </c>
      <c r="BX16" t="s">
        <v>181</v>
      </c>
      <c r="BZ16" t="s">
        <v>162</v>
      </c>
      <c r="CB16" t="s">
        <v>140</v>
      </c>
      <c r="CD16" t="s">
        <v>177</v>
      </c>
      <c r="CE16" t="s">
        <v>140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164</v>
      </c>
      <c r="CP16">
        <v>0</v>
      </c>
      <c r="CQ16">
        <v>0</v>
      </c>
      <c r="CS16">
        <v>5</v>
      </c>
      <c r="CT16">
        <v>0</v>
      </c>
      <c r="CU16">
        <v>0</v>
      </c>
      <c r="CV16">
        <v>1</v>
      </c>
      <c r="CW16">
        <v>10</v>
      </c>
      <c r="CX16">
        <v>1</v>
      </c>
      <c r="CY16">
        <v>0</v>
      </c>
      <c r="CZ16">
        <v>10</v>
      </c>
      <c r="DA16">
        <v>0</v>
      </c>
      <c r="DB16">
        <v>5</v>
      </c>
      <c r="DC16">
        <v>5</v>
      </c>
      <c r="DD16">
        <v>5</v>
      </c>
      <c r="DE16">
        <v>5</v>
      </c>
      <c r="DF16">
        <v>0</v>
      </c>
      <c r="DG16">
        <v>5</v>
      </c>
      <c r="DH16">
        <v>2</v>
      </c>
      <c r="DI16">
        <v>5</v>
      </c>
      <c r="DJ16">
        <v>0</v>
      </c>
      <c r="DK16">
        <v>5</v>
      </c>
      <c r="DL16">
        <v>10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5</v>
      </c>
      <c r="DV16">
        <v>0</v>
      </c>
      <c r="DW16">
        <v>196</v>
      </c>
      <c r="DX16">
        <v>79</v>
      </c>
      <c r="DY16">
        <v>0.40306121110916099</v>
      </c>
      <c r="DZ16" t="s">
        <v>145</v>
      </c>
      <c r="EA16">
        <v>23460</v>
      </c>
      <c r="EB16" t="s">
        <v>226</v>
      </c>
      <c r="EC16" t="s">
        <v>210</v>
      </c>
    </row>
    <row r="17" spans="1:133" hidden="1" x14ac:dyDescent="0.25">
      <c r="A17">
        <v>18</v>
      </c>
      <c r="B17">
        <v>23461</v>
      </c>
      <c r="C17" t="s">
        <v>132</v>
      </c>
      <c r="D17" t="s">
        <v>133</v>
      </c>
      <c r="E17" t="s">
        <v>134</v>
      </c>
      <c r="F17" t="s">
        <v>221</v>
      </c>
      <c r="G17" s="1">
        <v>1.2</v>
      </c>
      <c r="H17" t="s">
        <v>156</v>
      </c>
      <c r="I17" t="s">
        <v>140</v>
      </c>
      <c r="L17">
        <v>25180935</v>
      </c>
      <c r="N17" t="s">
        <v>222</v>
      </c>
      <c r="O17">
        <v>2015</v>
      </c>
      <c r="P17" t="s">
        <v>197</v>
      </c>
      <c r="Q17">
        <v>1875</v>
      </c>
      <c r="R17">
        <v>49451</v>
      </c>
      <c r="T17">
        <v>364.06201171875</v>
      </c>
      <c r="U17" t="s">
        <v>140</v>
      </c>
      <c r="W17" t="s">
        <v>223</v>
      </c>
      <c r="Y17" t="s">
        <v>179</v>
      </c>
      <c r="AF17" t="s">
        <v>140</v>
      </c>
      <c r="AJ17" t="s">
        <v>147</v>
      </c>
      <c r="AK17" t="s">
        <v>148</v>
      </c>
      <c r="AL17" t="s">
        <v>170</v>
      </c>
      <c r="AM17" t="s">
        <v>140</v>
      </c>
      <c r="AQ17" t="s">
        <v>202</v>
      </c>
      <c r="AR17">
        <v>0.25</v>
      </c>
      <c r="AS17" t="s">
        <v>183</v>
      </c>
      <c r="AT17">
        <v>5</v>
      </c>
      <c r="AU17" t="s">
        <v>224</v>
      </c>
      <c r="AW17">
        <v>5</v>
      </c>
      <c r="AX17" t="s">
        <v>224</v>
      </c>
      <c r="AY17" t="s">
        <v>140</v>
      </c>
      <c r="AZ17" t="s">
        <v>140</v>
      </c>
      <c r="BA17" t="s">
        <v>134</v>
      </c>
      <c r="BC17">
        <v>1</v>
      </c>
      <c r="BD17">
        <v>0</v>
      </c>
      <c r="BE17">
        <v>6</v>
      </c>
      <c r="BF17" t="s">
        <v>156</v>
      </c>
      <c r="BG17">
        <v>6</v>
      </c>
      <c r="BI17">
        <v>1</v>
      </c>
      <c r="BO17" t="s">
        <v>159</v>
      </c>
      <c r="BP17">
        <v>1</v>
      </c>
      <c r="BQ17" t="s">
        <v>133</v>
      </c>
      <c r="BR17">
        <v>1</v>
      </c>
      <c r="BV17">
        <v>0</v>
      </c>
      <c r="BW17">
        <v>1</v>
      </c>
      <c r="BX17" t="s">
        <v>181</v>
      </c>
      <c r="BZ17" t="s">
        <v>162</v>
      </c>
      <c r="CB17" t="s">
        <v>140</v>
      </c>
      <c r="CD17" t="s">
        <v>177</v>
      </c>
      <c r="CE17" t="s">
        <v>140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164</v>
      </c>
      <c r="CP17">
        <v>0</v>
      </c>
      <c r="CQ17">
        <v>0</v>
      </c>
      <c r="CS17">
        <v>5</v>
      </c>
      <c r="CT17">
        <v>0</v>
      </c>
      <c r="CU17">
        <v>0</v>
      </c>
      <c r="CV17">
        <v>1</v>
      </c>
      <c r="CW17">
        <v>10</v>
      </c>
      <c r="CX17">
        <v>1</v>
      </c>
      <c r="CY17">
        <v>0</v>
      </c>
      <c r="CZ17">
        <v>10</v>
      </c>
      <c r="DA17">
        <v>0</v>
      </c>
      <c r="DB17">
        <v>5</v>
      </c>
      <c r="DC17">
        <v>5</v>
      </c>
      <c r="DD17">
        <v>5</v>
      </c>
      <c r="DE17">
        <v>5</v>
      </c>
      <c r="DF17">
        <v>0</v>
      </c>
      <c r="DG17">
        <v>5</v>
      </c>
      <c r="DH17">
        <v>2</v>
      </c>
      <c r="DI17">
        <v>5</v>
      </c>
      <c r="DJ17">
        <v>0</v>
      </c>
      <c r="DK17">
        <v>5</v>
      </c>
      <c r="DL17">
        <v>10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5</v>
      </c>
      <c r="DV17">
        <v>0</v>
      </c>
      <c r="DW17">
        <v>196</v>
      </c>
      <c r="DX17">
        <v>79</v>
      </c>
      <c r="DY17">
        <v>0.40306121110916099</v>
      </c>
      <c r="DZ17" t="s">
        <v>145</v>
      </c>
      <c r="EA17">
        <v>23461</v>
      </c>
      <c r="EB17" t="s">
        <v>226</v>
      </c>
      <c r="EC17" t="s">
        <v>210</v>
      </c>
    </row>
    <row r="18" spans="1:133" hidden="1" x14ac:dyDescent="0.25">
      <c r="A18">
        <v>60</v>
      </c>
      <c r="B18">
        <v>26410</v>
      </c>
      <c r="C18" t="s">
        <v>132</v>
      </c>
      <c r="D18" t="s">
        <v>133</v>
      </c>
      <c r="E18" t="s">
        <v>173</v>
      </c>
      <c r="F18" t="s">
        <v>221</v>
      </c>
      <c r="G18" s="1">
        <v>2.4</v>
      </c>
      <c r="H18" t="s">
        <v>156</v>
      </c>
      <c r="I18" t="s">
        <v>140</v>
      </c>
      <c r="N18" t="s">
        <v>176</v>
      </c>
      <c r="O18">
        <v>2003</v>
      </c>
      <c r="P18" t="s">
        <v>227</v>
      </c>
      <c r="Q18">
        <v>4824</v>
      </c>
      <c r="R18">
        <v>422</v>
      </c>
      <c r="S18" t="s">
        <v>228</v>
      </c>
      <c r="Z18">
        <v>3</v>
      </c>
      <c r="AA18" t="s">
        <v>180</v>
      </c>
      <c r="AF18" t="s">
        <v>140</v>
      </c>
      <c r="AG18" t="s">
        <v>182</v>
      </c>
      <c r="AH18" t="s">
        <v>140</v>
      </c>
      <c r="AJ18" t="s">
        <v>147</v>
      </c>
      <c r="AK18" t="s">
        <v>148</v>
      </c>
      <c r="AL18" t="s">
        <v>149</v>
      </c>
      <c r="AM18" t="s">
        <v>140</v>
      </c>
      <c r="AQ18" t="s">
        <v>202</v>
      </c>
      <c r="AR18">
        <v>0.25</v>
      </c>
      <c r="AS18" t="s">
        <v>183</v>
      </c>
      <c r="BA18" t="s">
        <v>173</v>
      </c>
      <c r="BC18">
        <v>1</v>
      </c>
      <c r="BD18">
        <v>1</v>
      </c>
      <c r="BE18" t="s">
        <v>229</v>
      </c>
      <c r="BI18">
        <v>1</v>
      </c>
      <c r="BN18">
        <v>0</v>
      </c>
      <c r="BO18" t="s">
        <v>230</v>
      </c>
      <c r="BP18">
        <v>1</v>
      </c>
      <c r="BQ18" t="s">
        <v>133</v>
      </c>
      <c r="BR18">
        <v>1</v>
      </c>
      <c r="BS18" t="s">
        <v>231</v>
      </c>
      <c r="BV18">
        <v>1</v>
      </c>
      <c r="CE18" t="s">
        <v>140</v>
      </c>
      <c r="CN18" t="s">
        <v>164</v>
      </c>
      <c r="CQ18">
        <v>0</v>
      </c>
      <c r="DV18">
        <v>0</v>
      </c>
      <c r="EA18">
        <v>26410</v>
      </c>
      <c r="EB18" t="s">
        <v>232</v>
      </c>
      <c r="EC18" t="s">
        <v>232</v>
      </c>
    </row>
    <row r="19" spans="1:133" hidden="1" x14ac:dyDescent="0.25">
      <c r="A19">
        <v>61</v>
      </c>
      <c r="B19">
        <v>26411</v>
      </c>
      <c r="C19" t="s">
        <v>132</v>
      </c>
      <c r="D19" t="s">
        <v>133</v>
      </c>
      <c r="E19" t="s">
        <v>173</v>
      </c>
      <c r="F19" t="s">
        <v>221</v>
      </c>
      <c r="G19" s="1">
        <v>1.2</v>
      </c>
      <c r="H19" t="s">
        <v>156</v>
      </c>
      <c r="I19" t="s">
        <v>140</v>
      </c>
      <c r="N19" t="s">
        <v>176</v>
      </c>
      <c r="O19">
        <v>2003</v>
      </c>
      <c r="P19" t="s">
        <v>227</v>
      </c>
      <c r="Q19">
        <v>4825</v>
      </c>
      <c r="R19">
        <v>423</v>
      </c>
      <c r="S19" t="s">
        <v>228</v>
      </c>
      <c r="Z19">
        <v>3</v>
      </c>
      <c r="AA19" t="s">
        <v>180</v>
      </c>
      <c r="AF19" t="s">
        <v>140</v>
      </c>
      <c r="AG19" t="s">
        <v>182</v>
      </c>
      <c r="AH19" t="s">
        <v>140</v>
      </c>
      <c r="AJ19" t="s">
        <v>147</v>
      </c>
      <c r="AK19" t="s">
        <v>148</v>
      </c>
      <c r="AL19" t="s">
        <v>170</v>
      </c>
      <c r="AM19" t="s">
        <v>140</v>
      </c>
      <c r="AQ19" t="s">
        <v>202</v>
      </c>
      <c r="AR19">
        <v>0.25</v>
      </c>
      <c r="AS19" t="s">
        <v>183</v>
      </c>
      <c r="BA19" t="s">
        <v>173</v>
      </c>
      <c r="BC19">
        <v>1</v>
      </c>
      <c r="BD19">
        <v>1</v>
      </c>
      <c r="BE19" t="s">
        <v>229</v>
      </c>
      <c r="BI19">
        <v>1</v>
      </c>
      <c r="BN19">
        <v>0</v>
      </c>
      <c r="BO19" t="s">
        <v>230</v>
      </c>
      <c r="BP19">
        <v>1</v>
      </c>
      <c r="BQ19" t="s">
        <v>133</v>
      </c>
      <c r="BR19">
        <v>1</v>
      </c>
      <c r="BS19" t="s">
        <v>231</v>
      </c>
      <c r="BV19">
        <v>1</v>
      </c>
      <c r="CE19" t="s">
        <v>140</v>
      </c>
      <c r="CN19" t="s">
        <v>164</v>
      </c>
      <c r="CQ19">
        <v>0</v>
      </c>
      <c r="DV19">
        <v>0</v>
      </c>
      <c r="EA19">
        <v>26411</v>
      </c>
      <c r="EB19" t="s">
        <v>233</v>
      </c>
      <c r="EC19" t="s">
        <v>233</v>
      </c>
    </row>
    <row r="20" spans="1:133" hidden="1" x14ac:dyDescent="0.25">
      <c r="A20">
        <v>11</v>
      </c>
      <c r="B20">
        <v>23458</v>
      </c>
      <c r="C20" t="s">
        <v>132</v>
      </c>
      <c r="D20" t="s">
        <v>133</v>
      </c>
      <c r="E20" t="s">
        <v>134</v>
      </c>
      <c r="F20" t="s">
        <v>234</v>
      </c>
      <c r="G20" s="1">
        <v>15.4</v>
      </c>
      <c r="H20" t="s">
        <v>156</v>
      </c>
      <c r="I20" t="s">
        <v>235</v>
      </c>
      <c r="L20">
        <v>25180935</v>
      </c>
      <c r="N20" t="s">
        <v>222</v>
      </c>
      <c r="O20">
        <v>2015</v>
      </c>
      <c r="P20" t="s">
        <v>197</v>
      </c>
      <c r="Q20">
        <v>1872</v>
      </c>
      <c r="R20">
        <v>49448</v>
      </c>
      <c r="T20">
        <v>364.06201171875</v>
      </c>
      <c r="U20" t="s">
        <v>140</v>
      </c>
      <c r="W20" t="s">
        <v>223</v>
      </c>
      <c r="Y20" t="s">
        <v>179</v>
      </c>
      <c r="AF20" t="s">
        <v>140</v>
      </c>
      <c r="AJ20" t="s">
        <v>147</v>
      </c>
      <c r="AK20" t="s">
        <v>148</v>
      </c>
      <c r="AL20" t="s">
        <v>149</v>
      </c>
      <c r="AM20" t="s">
        <v>140</v>
      </c>
      <c r="AQ20" t="s">
        <v>202</v>
      </c>
      <c r="AR20">
        <v>0.25</v>
      </c>
      <c r="AS20" t="s">
        <v>183</v>
      </c>
      <c r="AT20">
        <v>0.5</v>
      </c>
      <c r="AU20" t="s">
        <v>224</v>
      </c>
      <c r="AW20">
        <v>0.5</v>
      </c>
      <c r="AX20" t="s">
        <v>224</v>
      </c>
      <c r="AY20" t="s">
        <v>140</v>
      </c>
      <c r="AZ20" t="s">
        <v>140</v>
      </c>
      <c r="BA20" t="s">
        <v>134</v>
      </c>
      <c r="BC20">
        <v>1</v>
      </c>
      <c r="BD20">
        <v>0</v>
      </c>
      <c r="BE20">
        <v>6</v>
      </c>
      <c r="BF20" t="s">
        <v>156</v>
      </c>
      <c r="BG20">
        <v>6</v>
      </c>
      <c r="BI20">
        <v>1</v>
      </c>
      <c r="BO20" t="s">
        <v>159</v>
      </c>
      <c r="BP20">
        <v>1</v>
      </c>
      <c r="BQ20" t="s">
        <v>133</v>
      </c>
      <c r="BR20">
        <v>1</v>
      </c>
      <c r="BV20">
        <v>0</v>
      </c>
      <c r="BW20">
        <v>1</v>
      </c>
      <c r="BX20" t="s">
        <v>181</v>
      </c>
      <c r="BZ20" t="s">
        <v>162</v>
      </c>
      <c r="CB20" t="s">
        <v>140</v>
      </c>
      <c r="CD20" t="s">
        <v>177</v>
      </c>
      <c r="CE20" t="s">
        <v>140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164</v>
      </c>
      <c r="CP20">
        <v>0</v>
      </c>
      <c r="CQ20">
        <v>0</v>
      </c>
      <c r="CS20">
        <v>5</v>
      </c>
      <c r="CT20">
        <v>0</v>
      </c>
      <c r="CU20">
        <v>0</v>
      </c>
      <c r="CV20">
        <v>1</v>
      </c>
      <c r="CW20">
        <v>10</v>
      </c>
      <c r="CX20">
        <v>1</v>
      </c>
      <c r="CY20">
        <v>0</v>
      </c>
      <c r="CZ20">
        <v>10</v>
      </c>
      <c r="DA20">
        <v>0</v>
      </c>
      <c r="DB20">
        <v>5</v>
      </c>
      <c r="DC20">
        <v>5</v>
      </c>
      <c r="DD20">
        <v>5</v>
      </c>
      <c r="DE20">
        <v>5</v>
      </c>
      <c r="DF20">
        <v>0</v>
      </c>
      <c r="DG20">
        <v>5</v>
      </c>
      <c r="DH20">
        <v>2</v>
      </c>
      <c r="DI20">
        <v>5</v>
      </c>
      <c r="DJ20">
        <v>0</v>
      </c>
      <c r="DK20">
        <v>5</v>
      </c>
      <c r="DL20">
        <v>10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5</v>
      </c>
      <c r="DV20">
        <v>0</v>
      </c>
      <c r="DW20">
        <v>196</v>
      </c>
      <c r="DX20">
        <v>79</v>
      </c>
      <c r="DY20">
        <v>0.40306121110916099</v>
      </c>
      <c r="DZ20" t="s">
        <v>145</v>
      </c>
      <c r="EA20">
        <v>23458</v>
      </c>
      <c r="EB20" t="s">
        <v>225</v>
      </c>
      <c r="EC20" t="s">
        <v>210</v>
      </c>
    </row>
    <row r="21" spans="1:133" hidden="1" x14ac:dyDescent="0.25">
      <c r="A21">
        <v>14</v>
      </c>
      <c r="B21">
        <v>23459</v>
      </c>
      <c r="C21" t="s">
        <v>132</v>
      </c>
      <c r="D21" t="s">
        <v>133</v>
      </c>
      <c r="E21" t="s">
        <v>134</v>
      </c>
      <c r="F21" t="s">
        <v>234</v>
      </c>
      <c r="G21" s="1">
        <v>23.3</v>
      </c>
      <c r="H21" t="s">
        <v>156</v>
      </c>
      <c r="I21" t="s">
        <v>235</v>
      </c>
      <c r="L21">
        <v>25180935</v>
      </c>
      <c r="N21" t="s">
        <v>222</v>
      </c>
      <c r="O21">
        <v>2015</v>
      </c>
      <c r="P21" t="s">
        <v>197</v>
      </c>
      <c r="Q21">
        <v>1873</v>
      </c>
      <c r="R21">
        <v>49449</v>
      </c>
      <c r="T21">
        <v>364.06201171875</v>
      </c>
      <c r="U21" t="s">
        <v>140</v>
      </c>
      <c r="W21" t="s">
        <v>223</v>
      </c>
      <c r="Y21" t="s">
        <v>179</v>
      </c>
      <c r="AF21" t="s">
        <v>140</v>
      </c>
      <c r="AJ21" t="s">
        <v>147</v>
      </c>
      <c r="AK21" t="s">
        <v>148</v>
      </c>
      <c r="AL21" t="s">
        <v>149</v>
      </c>
      <c r="AM21" t="s">
        <v>140</v>
      </c>
      <c r="AQ21" t="s">
        <v>202</v>
      </c>
      <c r="AR21">
        <v>0.25</v>
      </c>
      <c r="AS21" t="s">
        <v>183</v>
      </c>
      <c r="AT21">
        <v>5</v>
      </c>
      <c r="AU21" t="s">
        <v>224</v>
      </c>
      <c r="AW21">
        <v>5</v>
      </c>
      <c r="AX21" t="s">
        <v>224</v>
      </c>
      <c r="AY21" t="s">
        <v>140</v>
      </c>
      <c r="AZ21" t="s">
        <v>140</v>
      </c>
      <c r="BA21" t="s">
        <v>134</v>
      </c>
      <c r="BC21">
        <v>1</v>
      </c>
      <c r="BD21">
        <v>0</v>
      </c>
      <c r="BE21">
        <v>6</v>
      </c>
      <c r="BF21" t="s">
        <v>156</v>
      </c>
      <c r="BG21">
        <v>6</v>
      </c>
      <c r="BI21">
        <v>1</v>
      </c>
      <c r="BO21" t="s">
        <v>159</v>
      </c>
      <c r="BP21">
        <v>1</v>
      </c>
      <c r="BQ21" t="s">
        <v>133</v>
      </c>
      <c r="BR21">
        <v>1</v>
      </c>
      <c r="BV21">
        <v>0</v>
      </c>
      <c r="BW21">
        <v>1</v>
      </c>
      <c r="BX21" t="s">
        <v>181</v>
      </c>
      <c r="BZ21" t="s">
        <v>162</v>
      </c>
      <c r="CB21" t="s">
        <v>140</v>
      </c>
      <c r="CD21" t="s">
        <v>177</v>
      </c>
      <c r="CE21" t="s">
        <v>140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164</v>
      </c>
      <c r="CP21">
        <v>0</v>
      </c>
      <c r="CQ21">
        <v>0</v>
      </c>
      <c r="CS21">
        <v>5</v>
      </c>
      <c r="CT21">
        <v>0</v>
      </c>
      <c r="CU21">
        <v>0</v>
      </c>
      <c r="CV21">
        <v>1</v>
      </c>
      <c r="CW21">
        <v>10</v>
      </c>
      <c r="CX21">
        <v>1</v>
      </c>
      <c r="CY21">
        <v>0</v>
      </c>
      <c r="CZ21">
        <v>10</v>
      </c>
      <c r="DA21">
        <v>0</v>
      </c>
      <c r="DB21">
        <v>5</v>
      </c>
      <c r="DC21">
        <v>5</v>
      </c>
      <c r="DD21">
        <v>5</v>
      </c>
      <c r="DE21">
        <v>5</v>
      </c>
      <c r="DF21">
        <v>0</v>
      </c>
      <c r="DG21">
        <v>5</v>
      </c>
      <c r="DH21">
        <v>2</v>
      </c>
      <c r="DI21">
        <v>5</v>
      </c>
      <c r="DJ21">
        <v>0</v>
      </c>
      <c r="DK21">
        <v>5</v>
      </c>
      <c r="DL21">
        <v>10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5</v>
      </c>
      <c r="DV21">
        <v>0</v>
      </c>
      <c r="DW21">
        <v>196</v>
      </c>
      <c r="DX21">
        <v>79</v>
      </c>
      <c r="DY21">
        <v>0.40306121110916099</v>
      </c>
      <c r="DZ21" t="s">
        <v>145</v>
      </c>
      <c r="EA21">
        <v>23459</v>
      </c>
      <c r="EB21" t="s">
        <v>226</v>
      </c>
      <c r="EC21" t="s">
        <v>210</v>
      </c>
    </row>
    <row r="22" spans="1:133" hidden="1" x14ac:dyDescent="0.25">
      <c r="A22">
        <v>17</v>
      </c>
      <c r="B22">
        <v>23460</v>
      </c>
      <c r="C22" t="s">
        <v>132</v>
      </c>
      <c r="D22" t="s">
        <v>133</v>
      </c>
      <c r="E22" t="s">
        <v>134</v>
      </c>
      <c r="F22" t="s">
        <v>234</v>
      </c>
      <c r="G22" s="1">
        <v>2.1</v>
      </c>
      <c r="H22" t="s">
        <v>156</v>
      </c>
      <c r="I22" t="s">
        <v>235</v>
      </c>
      <c r="L22">
        <v>25180935</v>
      </c>
      <c r="N22" t="s">
        <v>222</v>
      </c>
      <c r="O22">
        <v>2015</v>
      </c>
      <c r="P22" t="s">
        <v>197</v>
      </c>
      <c r="Q22">
        <v>1874</v>
      </c>
      <c r="R22">
        <v>49450</v>
      </c>
      <c r="T22">
        <v>364.06201171875</v>
      </c>
      <c r="U22" t="s">
        <v>140</v>
      </c>
      <c r="W22" t="s">
        <v>223</v>
      </c>
      <c r="Y22" t="s">
        <v>179</v>
      </c>
      <c r="AF22" t="s">
        <v>140</v>
      </c>
      <c r="AJ22" t="s">
        <v>147</v>
      </c>
      <c r="AK22" t="s">
        <v>148</v>
      </c>
      <c r="AL22" t="s">
        <v>170</v>
      </c>
      <c r="AM22" t="s">
        <v>140</v>
      </c>
      <c r="AQ22" t="s">
        <v>202</v>
      </c>
      <c r="AR22">
        <v>0.25</v>
      </c>
      <c r="AS22" t="s">
        <v>183</v>
      </c>
      <c r="AT22">
        <v>0.5</v>
      </c>
      <c r="AU22" t="s">
        <v>224</v>
      </c>
      <c r="AW22">
        <v>0.5</v>
      </c>
      <c r="AX22" t="s">
        <v>224</v>
      </c>
      <c r="AY22" t="s">
        <v>140</v>
      </c>
      <c r="AZ22" t="s">
        <v>140</v>
      </c>
      <c r="BA22" t="s">
        <v>134</v>
      </c>
      <c r="BC22">
        <v>1</v>
      </c>
      <c r="BD22">
        <v>0</v>
      </c>
      <c r="BE22">
        <v>6</v>
      </c>
      <c r="BF22" t="s">
        <v>156</v>
      </c>
      <c r="BG22">
        <v>6</v>
      </c>
      <c r="BI22">
        <v>1</v>
      </c>
      <c r="BO22" t="s">
        <v>159</v>
      </c>
      <c r="BP22">
        <v>1</v>
      </c>
      <c r="BQ22" t="s">
        <v>133</v>
      </c>
      <c r="BR22">
        <v>1</v>
      </c>
      <c r="BV22">
        <v>0</v>
      </c>
      <c r="BW22">
        <v>1</v>
      </c>
      <c r="BX22" t="s">
        <v>181</v>
      </c>
      <c r="BZ22" t="s">
        <v>162</v>
      </c>
      <c r="CB22" t="s">
        <v>140</v>
      </c>
      <c r="CD22" t="s">
        <v>177</v>
      </c>
      <c r="CE22" t="s">
        <v>140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164</v>
      </c>
      <c r="CP22">
        <v>0</v>
      </c>
      <c r="CQ22">
        <v>0</v>
      </c>
      <c r="CS22">
        <v>5</v>
      </c>
      <c r="CT22">
        <v>0</v>
      </c>
      <c r="CU22">
        <v>0</v>
      </c>
      <c r="CV22">
        <v>1</v>
      </c>
      <c r="CW22">
        <v>10</v>
      </c>
      <c r="CX22">
        <v>1</v>
      </c>
      <c r="CY22">
        <v>0</v>
      </c>
      <c r="CZ22">
        <v>10</v>
      </c>
      <c r="DA22">
        <v>0</v>
      </c>
      <c r="DB22">
        <v>5</v>
      </c>
      <c r="DC22">
        <v>5</v>
      </c>
      <c r="DD22">
        <v>5</v>
      </c>
      <c r="DE22">
        <v>5</v>
      </c>
      <c r="DF22">
        <v>0</v>
      </c>
      <c r="DG22">
        <v>5</v>
      </c>
      <c r="DH22">
        <v>2</v>
      </c>
      <c r="DI22">
        <v>5</v>
      </c>
      <c r="DJ22">
        <v>0</v>
      </c>
      <c r="DK22">
        <v>5</v>
      </c>
      <c r="DL22">
        <v>10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5</v>
      </c>
      <c r="DV22">
        <v>0</v>
      </c>
      <c r="DW22">
        <v>196</v>
      </c>
      <c r="DX22">
        <v>79</v>
      </c>
      <c r="DY22">
        <v>0.40306121110916099</v>
      </c>
      <c r="DZ22" t="s">
        <v>145</v>
      </c>
      <c r="EA22">
        <v>23460</v>
      </c>
      <c r="EB22" t="s">
        <v>226</v>
      </c>
      <c r="EC22" t="s">
        <v>210</v>
      </c>
    </row>
    <row r="23" spans="1:133" hidden="1" x14ac:dyDescent="0.25">
      <c r="A23">
        <v>20</v>
      </c>
      <c r="B23">
        <v>23461</v>
      </c>
      <c r="C23" t="s">
        <v>132</v>
      </c>
      <c r="D23" t="s">
        <v>133</v>
      </c>
      <c r="E23" t="s">
        <v>134</v>
      </c>
      <c r="F23" t="s">
        <v>234</v>
      </c>
      <c r="G23" s="1">
        <v>1.2</v>
      </c>
      <c r="H23" t="s">
        <v>156</v>
      </c>
      <c r="I23" t="s">
        <v>235</v>
      </c>
      <c r="L23">
        <v>25180935</v>
      </c>
      <c r="N23" t="s">
        <v>222</v>
      </c>
      <c r="O23">
        <v>2015</v>
      </c>
      <c r="P23" t="s">
        <v>197</v>
      </c>
      <c r="Q23">
        <v>1875</v>
      </c>
      <c r="R23">
        <v>49451</v>
      </c>
      <c r="T23">
        <v>364.06201171875</v>
      </c>
      <c r="U23" t="s">
        <v>140</v>
      </c>
      <c r="W23" t="s">
        <v>223</v>
      </c>
      <c r="Y23" t="s">
        <v>179</v>
      </c>
      <c r="AF23" t="s">
        <v>140</v>
      </c>
      <c r="AJ23" t="s">
        <v>147</v>
      </c>
      <c r="AK23" t="s">
        <v>148</v>
      </c>
      <c r="AL23" t="s">
        <v>170</v>
      </c>
      <c r="AM23" t="s">
        <v>140</v>
      </c>
      <c r="AQ23" t="s">
        <v>202</v>
      </c>
      <c r="AR23">
        <v>0.25</v>
      </c>
      <c r="AS23" t="s">
        <v>183</v>
      </c>
      <c r="AT23">
        <v>5</v>
      </c>
      <c r="AU23" t="s">
        <v>224</v>
      </c>
      <c r="AW23">
        <v>5</v>
      </c>
      <c r="AX23" t="s">
        <v>224</v>
      </c>
      <c r="AY23" t="s">
        <v>140</v>
      </c>
      <c r="AZ23" t="s">
        <v>140</v>
      </c>
      <c r="BA23" t="s">
        <v>134</v>
      </c>
      <c r="BC23">
        <v>1</v>
      </c>
      <c r="BD23">
        <v>0</v>
      </c>
      <c r="BE23">
        <v>6</v>
      </c>
      <c r="BF23" t="s">
        <v>156</v>
      </c>
      <c r="BG23">
        <v>6</v>
      </c>
      <c r="BI23">
        <v>1</v>
      </c>
      <c r="BO23" t="s">
        <v>159</v>
      </c>
      <c r="BP23">
        <v>1</v>
      </c>
      <c r="BQ23" t="s">
        <v>133</v>
      </c>
      <c r="BR23">
        <v>1</v>
      </c>
      <c r="BV23">
        <v>0</v>
      </c>
      <c r="BW23">
        <v>1</v>
      </c>
      <c r="BX23" t="s">
        <v>181</v>
      </c>
      <c r="BZ23" t="s">
        <v>162</v>
      </c>
      <c r="CB23" t="s">
        <v>140</v>
      </c>
      <c r="CD23" t="s">
        <v>177</v>
      </c>
      <c r="CE23" t="s">
        <v>140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164</v>
      </c>
      <c r="CP23">
        <v>0</v>
      </c>
      <c r="CQ23">
        <v>0</v>
      </c>
      <c r="CS23">
        <v>5</v>
      </c>
      <c r="CT23">
        <v>0</v>
      </c>
      <c r="CU23">
        <v>0</v>
      </c>
      <c r="CV23">
        <v>1</v>
      </c>
      <c r="CW23">
        <v>10</v>
      </c>
      <c r="CX23">
        <v>1</v>
      </c>
      <c r="CY23">
        <v>0</v>
      </c>
      <c r="CZ23">
        <v>10</v>
      </c>
      <c r="DA23">
        <v>0</v>
      </c>
      <c r="DB23">
        <v>5</v>
      </c>
      <c r="DC23">
        <v>5</v>
      </c>
      <c r="DD23">
        <v>5</v>
      </c>
      <c r="DE23">
        <v>5</v>
      </c>
      <c r="DF23">
        <v>0</v>
      </c>
      <c r="DG23">
        <v>5</v>
      </c>
      <c r="DH23">
        <v>2</v>
      </c>
      <c r="DI23">
        <v>5</v>
      </c>
      <c r="DJ23">
        <v>0</v>
      </c>
      <c r="DK23">
        <v>5</v>
      </c>
      <c r="DL23">
        <v>10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5</v>
      </c>
      <c r="DV23">
        <v>0</v>
      </c>
      <c r="DW23">
        <v>196</v>
      </c>
      <c r="DX23">
        <v>79</v>
      </c>
      <c r="DY23">
        <v>0.40306121110916099</v>
      </c>
      <c r="DZ23" t="s">
        <v>145</v>
      </c>
      <c r="EA23">
        <v>23461</v>
      </c>
      <c r="EB23" t="s">
        <v>226</v>
      </c>
      <c r="EC23" t="s">
        <v>210</v>
      </c>
    </row>
    <row r="24" spans="1:133" hidden="1" x14ac:dyDescent="0.25">
      <c r="A24">
        <v>10</v>
      </c>
      <c r="B24">
        <v>23458</v>
      </c>
      <c r="C24" t="s">
        <v>132</v>
      </c>
      <c r="D24" t="s">
        <v>133</v>
      </c>
      <c r="E24" t="s">
        <v>134</v>
      </c>
      <c r="F24" t="s">
        <v>236</v>
      </c>
      <c r="G24" s="1">
        <v>4.5010000000000001E-2</v>
      </c>
      <c r="H24" t="s">
        <v>237</v>
      </c>
      <c r="I24" t="s">
        <v>238</v>
      </c>
      <c r="L24">
        <v>25180935</v>
      </c>
      <c r="N24" t="s">
        <v>222</v>
      </c>
      <c r="O24">
        <v>2015</v>
      </c>
      <c r="P24" t="s">
        <v>197</v>
      </c>
      <c r="Q24">
        <v>1872</v>
      </c>
      <c r="R24">
        <v>49448</v>
      </c>
      <c r="T24">
        <v>364.06201171875</v>
      </c>
      <c r="U24" t="s">
        <v>140</v>
      </c>
      <c r="W24" t="s">
        <v>223</v>
      </c>
      <c r="Y24" t="s">
        <v>179</v>
      </c>
      <c r="AF24" t="s">
        <v>140</v>
      </c>
      <c r="AJ24" t="s">
        <v>147</v>
      </c>
      <c r="AK24" t="s">
        <v>148</v>
      </c>
      <c r="AL24" t="s">
        <v>149</v>
      </c>
      <c r="AM24" t="s">
        <v>140</v>
      </c>
      <c r="AQ24" t="s">
        <v>202</v>
      </c>
      <c r="AR24">
        <v>0.25</v>
      </c>
      <c r="AS24" t="s">
        <v>183</v>
      </c>
      <c r="AT24">
        <v>0.5</v>
      </c>
      <c r="AU24" t="s">
        <v>224</v>
      </c>
      <c r="AW24">
        <v>0.5</v>
      </c>
      <c r="AX24" t="s">
        <v>224</v>
      </c>
      <c r="AY24" t="s">
        <v>140</v>
      </c>
      <c r="AZ24" t="s">
        <v>140</v>
      </c>
      <c r="BA24" t="s">
        <v>134</v>
      </c>
      <c r="BC24">
        <v>1</v>
      </c>
      <c r="BD24">
        <v>0</v>
      </c>
      <c r="BE24">
        <v>6</v>
      </c>
      <c r="BF24" t="s">
        <v>156</v>
      </c>
      <c r="BG24">
        <v>6</v>
      </c>
      <c r="BI24">
        <v>1</v>
      </c>
      <c r="BO24" t="s">
        <v>159</v>
      </c>
      <c r="BP24">
        <v>1</v>
      </c>
      <c r="BQ24" t="s">
        <v>133</v>
      </c>
      <c r="BR24">
        <v>1</v>
      </c>
      <c r="BV24">
        <v>0</v>
      </c>
      <c r="BW24">
        <v>1</v>
      </c>
      <c r="BX24" t="s">
        <v>181</v>
      </c>
      <c r="BZ24" t="s">
        <v>162</v>
      </c>
      <c r="CB24" t="s">
        <v>140</v>
      </c>
      <c r="CD24" t="s">
        <v>177</v>
      </c>
      <c r="CE24" t="s">
        <v>140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164</v>
      </c>
      <c r="CP24">
        <v>0</v>
      </c>
      <c r="CQ24">
        <v>0</v>
      </c>
      <c r="CS24">
        <v>5</v>
      </c>
      <c r="CT24">
        <v>0</v>
      </c>
      <c r="CU24">
        <v>0</v>
      </c>
      <c r="CV24">
        <v>1</v>
      </c>
      <c r="CW24">
        <v>10</v>
      </c>
      <c r="CX24">
        <v>1</v>
      </c>
      <c r="CY24">
        <v>0</v>
      </c>
      <c r="CZ24">
        <v>10</v>
      </c>
      <c r="DA24">
        <v>0</v>
      </c>
      <c r="DB24">
        <v>5</v>
      </c>
      <c r="DC24">
        <v>5</v>
      </c>
      <c r="DD24">
        <v>5</v>
      </c>
      <c r="DE24">
        <v>5</v>
      </c>
      <c r="DF24">
        <v>0</v>
      </c>
      <c r="DG24">
        <v>5</v>
      </c>
      <c r="DH24">
        <v>2</v>
      </c>
      <c r="DI24">
        <v>5</v>
      </c>
      <c r="DJ24">
        <v>0</v>
      </c>
      <c r="DK24">
        <v>5</v>
      </c>
      <c r="DL24">
        <v>10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5</v>
      </c>
      <c r="DV24">
        <v>0</v>
      </c>
      <c r="DW24">
        <v>196</v>
      </c>
      <c r="DX24">
        <v>79</v>
      </c>
      <c r="DY24">
        <v>0.40306121110916099</v>
      </c>
      <c r="DZ24" t="s">
        <v>145</v>
      </c>
      <c r="EA24">
        <v>23458</v>
      </c>
      <c r="EB24" t="s">
        <v>225</v>
      </c>
      <c r="EC24" t="s">
        <v>210</v>
      </c>
    </row>
    <row r="25" spans="1:133" hidden="1" x14ac:dyDescent="0.25">
      <c r="A25">
        <v>13</v>
      </c>
      <c r="B25">
        <v>23459</v>
      </c>
      <c r="C25" t="s">
        <v>132</v>
      </c>
      <c r="D25" t="s">
        <v>133</v>
      </c>
      <c r="E25" t="s">
        <v>134</v>
      </c>
      <c r="F25" t="s">
        <v>236</v>
      </c>
      <c r="G25" s="1">
        <v>2.9749999999999999E-2</v>
      </c>
      <c r="H25" t="s">
        <v>237</v>
      </c>
      <c r="I25" t="s">
        <v>238</v>
      </c>
      <c r="L25">
        <v>25180935</v>
      </c>
      <c r="N25" t="s">
        <v>222</v>
      </c>
      <c r="O25">
        <v>2015</v>
      </c>
      <c r="P25" t="s">
        <v>197</v>
      </c>
      <c r="Q25">
        <v>1873</v>
      </c>
      <c r="R25">
        <v>49449</v>
      </c>
      <c r="T25">
        <v>364.06201171875</v>
      </c>
      <c r="U25" t="s">
        <v>140</v>
      </c>
      <c r="W25" t="s">
        <v>223</v>
      </c>
      <c r="Y25" t="s">
        <v>179</v>
      </c>
      <c r="AF25" t="s">
        <v>140</v>
      </c>
      <c r="AJ25" t="s">
        <v>147</v>
      </c>
      <c r="AK25" t="s">
        <v>148</v>
      </c>
      <c r="AL25" t="s">
        <v>149</v>
      </c>
      <c r="AM25" t="s">
        <v>140</v>
      </c>
      <c r="AQ25" t="s">
        <v>202</v>
      </c>
      <c r="AR25">
        <v>0.25</v>
      </c>
      <c r="AS25" t="s">
        <v>183</v>
      </c>
      <c r="AT25">
        <v>5</v>
      </c>
      <c r="AU25" t="s">
        <v>224</v>
      </c>
      <c r="AW25">
        <v>5</v>
      </c>
      <c r="AX25" t="s">
        <v>224</v>
      </c>
      <c r="AY25" t="s">
        <v>140</v>
      </c>
      <c r="AZ25" t="s">
        <v>140</v>
      </c>
      <c r="BA25" t="s">
        <v>134</v>
      </c>
      <c r="BC25">
        <v>1</v>
      </c>
      <c r="BD25">
        <v>0</v>
      </c>
      <c r="BE25">
        <v>6</v>
      </c>
      <c r="BF25" t="s">
        <v>156</v>
      </c>
      <c r="BG25">
        <v>6</v>
      </c>
      <c r="BI25">
        <v>1</v>
      </c>
      <c r="BO25" t="s">
        <v>159</v>
      </c>
      <c r="BP25">
        <v>1</v>
      </c>
      <c r="BQ25" t="s">
        <v>133</v>
      </c>
      <c r="BR25">
        <v>1</v>
      </c>
      <c r="BV25">
        <v>0</v>
      </c>
      <c r="BW25">
        <v>1</v>
      </c>
      <c r="BX25" t="s">
        <v>181</v>
      </c>
      <c r="BZ25" t="s">
        <v>162</v>
      </c>
      <c r="CB25" t="s">
        <v>140</v>
      </c>
      <c r="CD25" t="s">
        <v>177</v>
      </c>
      <c r="CE25" t="s">
        <v>140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164</v>
      </c>
      <c r="CP25">
        <v>0</v>
      </c>
      <c r="CQ25">
        <v>0</v>
      </c>
      <c r="CS25">
        <v>5</v>
      </c>
      <c r="CT25">
        <v>0</v>
      </c>
      <c r="CU25">
        <v>0</v>
      </c>
      <c r="CV25">
        <v>1</v>
      </c>
      <c r="CW25">
        <v>10</v>
      </c>
      <c r="CX25">
        <v>1</v>
      </c>
      <c r="CY25">
        <v>0</v>
      </c>
      <c r="CZ25">
        <v>10</v>
      </c>
      <c r="DA25">
        <v>0</v>
      </c>
      <c r="DB25">
        <v>5</v>
      </c>
      <c r="DC25">
        <v>5</v>
      </c>
      <c r="DD25">
        <v>5</v>
      </c>
      <c r="DE25">
        <v>5</v>
      </c>
      <c r="DF25">
        <v>0</v>
      </c>
      <c r="DG25">
        <v>5</v>
      </c>
      <c r="DH25">
        <v>2</v>
      </c>
      <c r="DI25">
        <v>5</v>
      </c>
      <c r="DJ25">
        <v>0</v>
      </c>
      <c r="DK25">
        <v>5</v>
      </c>
      <c r="DL25">
        <v>10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5</v>
      </c>
      <c r="DV25">
        <v>0</v>
      </c>
      <c r="DW25">
        <v>196</v>
      </c>
      <c r="DX25">
        <v>79</v>
      </c>
      <c r="DY25">
        <v>0.40306121110916099</v>
      </c>
      <c r="DZ25" t="s">
        <v>145</v>
      </c>
      <c r="EA25">
        <v>23459</v>
      </c>
      <c r="EB25" t="s">
        <v>226</v>
      </c>
      <c r="EC25" t="s">
        <v>210</v>
      </c>
    </row>
    <row r="26" spans="1:133" hidden="1" x14ac:dyDescent="0.25">
      <c r="A26">
        <v>16</v>
      </c>
      <c r="B26">
        <v>23460</v>
      </c>
      <c r="C26" t="s">
        <v>132</v>
      </c>
      <c r="D26" t="s">
        <v>133</v>
      </c>
      <c r="E26" t="s">
        <v>134</v>
      </c>
      <c r="F26" t="s">
        <v>236</v>
      </c>
      <c r="G26" s="1">
        <v>0.3301</v>
      </c>
      <c r="H26" t="s">
        <v>237</v>
      </c>
      <c r="I26" t="s">
        <v>238</v>
      </c>
      <c r="L26">
        <v>25180935</v>
      </c>
      <c r="N26" t="s">
        <v>222</v>
      </c>
      <c r="O26">
        <v>2015</v>
      </c>
      <c r="P26" t="s">
        <v>197</v>
      </c>
      <c r="Q26">
        <v>1874</v>
      </c>
      <c r="R26">
        <v>49450</v>
      </c>
      <c r="T26">
        <v>364.06201171875</v>
      </c>
      <c r="U26" t="s">
        <v>140</v>
      </c>
      <c r="W26" t="s">
        <v>223</v>
      </c>
      <c r="Y26" t="s">
        <v>179</v>
      </c>
      <c r="AF26" t="s">
        <v>140</v>
      </c>
      <c r="AJ26" t="s">
        <v>147</v>
      </c>
      <c r="AK26" t="s">
        <v>148</v>
      </c>
      <c r="AL26" t="s">
        <v>170</v>
      </c>
      <c r="AM26" t="s">
        <v>140</v>
      </c>
      <c r="AQ26" t="s">
        <v>202</v>
      </c>
      <c r="AR26">
        <v>0.25</v>
      </c>
      <c r="AS26" t="s">
        <v>183</v>
      </c>
      <c r="AT26">
        <v>0.5</v>
      </c>
      <c r="AU26" t="s">
        <v>224</v>
      </c>
      <c r="AW26">
        <v>0.5</v>
      </c>
      <c r="AX26" t="s">
        <v>224</v>
      </c>
      <c r="AY26" t="s">
        <v>140</v>
      </c>
      <c r="AZ26" t="s">
        <v>140</v>
      </c>
      <c r="BA26" t="s">
        <v>134</v>
      </c>
      <c r="BC26">
        <v>1</v>
      </c>
      <c r="BD26">
        <v>0</v>
      </c>
      <c r="BE26">
        <v>6</v>
      </c>
      <c r="BF26" t="s">
        <v>156</v>
      </c>
      <c r="BG26">
        <v>6</v>
      </c>
      <c r="BI26">
        <v>1</v>
      </c>
      <c r="BO26" t="s">
        <v>159</v>
      </c>
      <c r="BP26">
        <v>1</v>
      </c>
      <c r="BQ26" t="s">
        <v>133</v>
      </c>
      <c r="BR26">
        <v>1</v>
      </c>
      <c r="BV26">
        <v>0</v>
      </c>
      <c r="BW26">
        <v>1</v>
      </c>
      <c r="BX26" t="s">
        <v>181</v>
      </c>
      <c r="BZ26" t="s">
        <v>162</v>
      </c>
      <c r="CB26" t="s">
        <v>140</v>
      </c>
      <c r="CD26" t="s">
        <v>177</v>
      </c>
      <c r="CE26" t="s">
        <v>140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164</v>
      </c>
      <c r="CP26">
        <v>0</v>
      </c>
      <c r="CQ26">
        <v>0</v>
      </c>
      <c r="CS26">
        <v>5</v>
      </c>
      <c r="CT26">
        <v>0</v>
      </c>
      <c r="CU26">
        <v>0</v>
      </c>
      <c r="CV26">
        <v>1</v>
      </c>
      <c r="CW26">
        <v>10</v>
      </c>
      <c r="CX26">
        <v>1</v>
      </c>
      <c r="CY26">
        <v>0</v>
      </c>
      <c r="CZ26">
        <v>10</v>
      </c>
      <c r="DA26">
        <v>0</v>
      </c>
      <c r="DB26">
        <v>5</v>
      </c>
      <c r="DC26">
        <v>5</v>
      </c>
      <c r="DD26">
        <v>5</v>
      </c>
      <c r="DE26">
        <v>5</v>
      </c>
      <c r="DF26">
        <v>0</v>
      </c>
      <c r="DG26">
        <v>5</v>
      </c>
      <c r="DH26">
        <v>2</v>
      </c>
      <c r="DI26">
        <v>5</v>
      </c>
      <c r="DJ26">
        <v>0</v>
      </c>
      <c r="DK26">
        <v>5</v>
      </c>
      <c r="DL26">
        <v>10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5</v>
      </c>
      <c r="DV26">
        <v>0</v>
      </c>
      <c r="DW26">
        <v>196</v>
      </c>
      <c r="DX26">
        <v>79</v>
      </c>
      <c r="DY26">
        <v>0.40306121110916099</v>
      </c>
      <c r="DZ26" t="s">
        <v>145</v>
      </c>
      <c r="EA26">
        <v>23460</v>
      </c>
      <c r="EB26" t="s">
        <v>226</v>
      </c>
      <c r="EC26" t="s">
        <v>210</v>
      </c>
    </row>
    <row r="27" spans="1:133" hidden="1" x14ac:dyDescent="0.25">
      <c r="A27">
        <v>19</v>
      </c>
      <c r="B27">
        <v>23461</v>
      </c>
      <c r="C27" t="s">
        <v>132</v>
      </c>
      <c r="D27" t="s">
        <v>133</v>
      </c>
      <c r="E27" t="s">
        <v>134</v>
      </c>
      <c r="F27" t="s">
        <v>236</v>
      </c>
      <c r="G27" s="1">
        <v>0.5776</v>
      </c>
      <c r="H27" t="s">
        <v>237</v>
      </c>
      <c r="I27" t="s">
        <v>238</v>
      </c>
      <c r="L27">
        <v>25180935</v>
      </c>
      <c r="N27" t="s">
        <v>222</v>
      </c>
      <c r="O27">
        <v>2015</v>
      </c>
      <c r="P27" t="s">
        <v>197</v>
      </c>
      <c r="Q27">
        <v>1875</v>
      </c>
      <c r="R27">
        <v>49451</v>
      </c>
      <c r="T27">
        <v>364.06201171875</v>
      </c>
      <c r="U27" t="s">
        <v>140</v>
      </c>
      <c r="W27" t="s">
        <v>223</v>
      </c>
      <c r="Y27" t="s">
        <v>179</v>
      </c>
      <c r="AF27" t="s">
        <v>140</v>
      </c>
      <c r="AJ27" t="s">
        <v>147</v>
      </c>
      <c r="AK27" t="s">
        <v>148</v>
      </c>
      <c r="AL27" t="s">
        <v>170</v>
      </c>
      <c r="AM27" t="s">
        <v>140</v>
      </c>
      <c r="AQ27" t="s">
        <v>202</v>
      </c>
      <c r="AR27">
        <v>0.25</v>
      </c>
      <c r="AS27" t="s">
        <v>183</v>
      </c>
      <c r="AT27">
        <v>5</v>
      </c>
      <c r="AU27" t="s">
        <v>224</v>
      </c>
      <c r="AW27">
        <v>5</v>
      </c>
      <c r="AX27" t="s">
        <v>224</v>
      </c>
      <c r="AY27" t="s">
        <v>140</v>
      </c>
      <c r="AZ27" t="s">
        <v>140</v>
      </c>
      <c r="BA27" t="s">
        <v>134</v>
      </c>
      <c r="BC27">
        <v>1</v>
      </c>
      <c r="BD27">
        <v>0</v>
      </c>
      <c r="BE27">
        <v>6</v>
      </c>
      <c r="BF27" t="s">
        <v>156</v>
      </c>
      <c r="BG27">
        <v>6</v>
      </c>
      <c r="BI27">
        <v>1</v>
      </c>
      <c r="BO27" t="s">
        <v>159</v>
      </c>
      <c r="BP27">
        <v>1</v>
      </c>
      <c r="BQ27" t="s">
        <v>133</v>
      </c>
      <c r="BR27">
        <v>1</v>
      </c>
      <c r="BV27">
        <v>0</v>
      </c>
      <c r="BW27">
        <v>1</v>
      </c>
      <c r="BX27" t="s">
        <v>181</v>
      </c>
      <c r="BZ27" t="s">
        <v>162</v>
      </c>
      <c r="CB27" t="s">
        <v>140</v>
      </c>
      <c r="CD27" t="s">
        <v>177</v>
      </c>
      <c r="CE27" t="s">
        <v>140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164</v>
      </c>
      <c r="CP27">
        <v>0</v>
      </c>
      <c r="CQ27">
        <v>0</v>
      </c>
      <c r="CS27">
        <v>5</v>
      </c>
      <c r="CT27">
        <v>0</v>
      </c>
      <c r="CU27">
        <v>0</v>
      </c>
      <c r="CV27">
        <v>1</v>
      </c>
      <c r="CW27">
        <v>10</v>
      </c>
      <c r="CX27">
        <v>1</v>
      </c>
      <c r="CY27">
        <v>0</v>
      </c>
      <c r="CZ27">
        <v>10</v>
      </c>
      <c r="DA27">
        <v>0</v>
      </c>
      <c r="DB27">
        <v>5</v>
      </c>
      <c r="DC27">
        <v>5</v>
      </c>
      <c r="DD27">
        <v>5</v>
      </c>
      <c r="DE27">
        <v>5</v>
      </c>
      <c r="DF27">
        <v>0</v>
      </c>
      <c r="DG27">
        <v>5</v>
      </c>
      <c r="DH27">
        <v>2</v>
      </c>
      <c r="DI27">
        <v>5</v>
      </c>
      <c r="DJ27">
        <v>0</v>
      </c>
      <c r="DK27">
        <v>5</v>
      </c>
      <c r="DL27">
        <v>10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5</v>
      </c>
      <c r="DV27">
        <v>0</v>
      </c>
      <c r="DW27">
        <v>196</v>
      </c>
      <c r="DX27">
        <v>79</v>
      </c>
      <c r="DY27">
        <v>0.40306121110916099</v>
      </c>
      <c r="DZ27" t="s">
        <v>145</v>
      </c>
      <c r="EA27">
        <v>23461</v>
      </c>
      <c r="EB27" t="s">
        <v>226</v>
      </c>
      <c r="EC27" t="s">
        <v>210</v>
      </c>
    </row>
    <row r="28" spans="1:133" hidden="1" x14ac:dyDescent="0.25">
      <c r="A28">
        <v>1</v>
      </c>
      <c r="B28">
        <v>23408</v>
      </c>
      <c r="C28" t="s">
        <v>132</v>
      </c>
      <c r="D28" t="s">
        <v>192</v>
      </c>
      <c r="E28" t="s">
        <v>193</v>
      </c>
      <c r="F28" t="s">
        <v>239</v>
      </c>
      <c r="G28" s="1">
        <v>24</v>
      </c>
      <c r="H28" t="s">
        <v>156</v>
      </c>
      <c r="I28" t="s">
        <v>140</v>
      </c>
      <c r="L28">
        <v>21059488</v>
      </c>
      <c r="N28" t="s">
        <v>196</v>
      </c>
      <c r="O28">
        <v>2011</v>
      </c>
      <c r="P28" t="s">
        <v>197</v>
      </c>
      <c r="Q28">
        <v>1822</v>
      </c>
      <c r="R28">
        <v>49391</v>
      </c>
      <c r="T28">
        <v>364.06201171875</v>
      </c>
      <c r="U28" t="s">
        <v>140</v>
      </c>
      <c r="W28" t="s">
        <v>198</v>
      </c>
      <c r="Y28" t="s">
        <v>142</v>
      </c>
      <c r="Z28">
        <v>4</v>
      </c>
      <c r="AA28" t="s">
        <v>144</v>
      </c>
      <c r="AB28">
        <v>11</v>
      </c>
      <c r="AC28" t="s">
        <v>144</v>
      </c>
      <c r="AF28" t="s">
        <v>140</v>
      </c>
      <c r="AG28" t="s">
        <v>199</v>
      </c>
      <c r="AH28" t="s">
        <v>140</v>
      </c>
      <c r="AI28" t="s">
        <v>200</v>
      </c>
      <c r="AJ28" t="s">
        <v>201</v>
      </c>
      <c r="AK28" t="s">
        <v>140</v>
      </c>
      <c r="AL28" t="s">
        <v>149</v>
      </c>
      <c r="AM28" t="s">
        <v>140</v>
      </c>
      <c r="AQ28" t="s">
        <v>202</v>
      </c>
      <c r="AR28">
        <v>0.25</v>
      </c>
      <c r="AS28" t="s">
        <v>183</v>
      </c>
      <c r="AT28">
        <v>50</v>
      </c>
      <c r="AU28" t="s">
        <v>203</v>
      </c>
      <c r="AW28">
        <v>5.0000000745058101E-2</v>
      </c>
      <c r="AX28" t="s">
        <v>204</v>
      </c>
      <c r="AY28" t="s">
        <v>140</v>
      </c>
      <c r="AZ28" t="s">
        <v>140</v>
      </c>
      <c r="BA28" t="s">
        <v>193</v>
      </c>
      <c r="BB28" t="s">
        <v>205</v>
      </c>
      <c r="BC28">
        <v>1</v>
      </c>
      <c r="BD28">
        <v>0</v>
      </c>
      <c r="BE28">
        <v>22</v>
      </c>
      <c r="BF28" t="s">
        <v>185</v>
      </c>
      <c r="BG28">
        <v>528</v>
      </c>
      <c r="BI28">
        <v>1</v>
      </c>
      <c r="BJ28">
        <v>4</v>
      </c>
      <c r="BK28" t="s">
        <v>186</v>
      </c>
      <c r="BL28">
        <v>4</v>
      </c>
      <c r="BM28" t="s">
        <v>206</v>
      </c>
      <c r="BN28">
        <v>1</v>
      </c>
      <c r="BO28" t="s">
        <v>159</v>
      </c>
      <c r="BP28">
        <v>1</v>
      </c>
      <c r="BQ28" t="s">
        <v>192</v>
      </c>
      <c r="BR28">
        <v>1</v>
      </c>
      <c r="BS28" t="s">
        <v>207</v>
      </c>
      <c r="BT28" s="1">
        <v>4.2361111E-2</v>
      </c>
      <c r="BV28">
        <v>1</v>
      </c>
      <c r="BW28">
        <v>1</v>
      </c>
      <c r="BX28" t="s">
        <v>208</v>
      </c>
      <c r="BY28">
        <v>0</v>
      </c>
      <c r="BZ28" t="s">
        <v>181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0</v>
      </c>
      <c r="CN28" t="s">
        <v>164</v>
      </c>
      <c r="CP28">
        <v>0</v>
      </c>
      <c r="CQ28">
        <v>0</v>
      </c>
      <c r="CS28">
        <v>5</v>
      </c>
      <c r="CT28">
        <v>10</v>
      </c>
      <c r="CU28">
        <v>10</v>
      </c>
      <c r="CV28">
        <v>1</v>
      </c>
      <c r="CW28">
        <v>10</v>
      </c>
      <c r="CX28">
        <v>5</v>
      </c>
      <c r="CY28">
        <v>0</v>
      </c>
      <c r="CZ28">
        <v>10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10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4</v>
      </c>
      <c r="DP28">
        <v>5</v>
      </c>
      <c r="DQ28">
        <v>0</v>
      </c>
      <c r="DR28">
        <v>0</v>
      </c>
      <c r="DS28">
        <v>0</v>
      </c>
      <c r="DT28">
        <v>0</v>
      </c>
      <c r="DU28">
        <v>5</v>
      </c>
      <c r="DV28">
        <v>0</v>
      </c>
      <c r="DW28">
        <v>196</v>
      </c>
      <c r="DX28">
        <v>110</v>
      </c>
      <c r="DY28">
        <v>0.56122446060180697</v>
      </c>
      <c r="DZ28" t="s">
        <v>144</v>
      </c>
      <c r="EA28">
        <v>23408</v>
      </c>
      <c r="EB28" t="s">
        <v>209</v>
      </c>
      <c r="EC28" t="s">
        <v>210</v>
      </c>
    </row>
    <row r="29" spans="1:133" hidden="1" x14ac:dyDescent="0.25">
      <c r="A29">
        <v>4</v>
      </c>
      <c r="B29">
        <v>23414</v>
      </c>
      <c r="C29" t="s">
        <v>132</v>
      </c>
      <c r="D29" t="s">
        <v>192</v>
      </c>
      <c r="E29" t="s">
        <v>193</v>
      </c>
      <c r="F29" t="s">
        <v>239</v>
      </c>
      <c r="G29" s="1">
        <v>24</v>
      </c>
      <c r="H29" t="s">
        <v>156</v>
      </c>
      <c r="I29" t="s">
        <v>140</v>
      </c>
      <c r="L29">
        <v>21059488</v>
      </c>
      <c r="N29" t="s">
        <v>196</v>
      </c>
      <c r="O29">
        <v>2011</v>
      </c>
      <c r="P29" t="s">
        <v>197</v>
      </c>
      <c r="Q29">
        <v>1828</v>
      </c>
      <c r="R29">
        <v>49399</v>
      </c>
      <c r="T29">
        <v>364.06201171875</v>
      </c>
      <c r="U29" t="s">
        <v>140</v>
      </c>
      <c r="W29" t="s">
        <v>211</v>
      </c>
      <c r="Y29" t="s">
        <v>142</v>
      </c>
      <c r="Z29">
        <v>4</v>
      </c>
      <c r="AA29" t="s">
        <v>144</v>
      </c>
      <c r="AB29">
        <v>11</v>
      </c>
      <c r="AC29" t="s">
        <v>144</v>
      </c>
      <c r="AF29" t="s">
        <v>140</v>
      </c>
      <c r="AG29" t="s">
        <v>199</v>
      </c>
      <c r="AH29" t="s">
        <v>140</v>
      </c>
      <c r="AI29" t="s">
        <v>200</v>
      </c>
      <c r="AJ29" t="s">
        <v>201</v>
      </c>
      <c r="AK29" t="s">
        <v>140</v>
      </c>
      <c r="AL29" t="s">
        <v>149</v>
      </c>
      <c r="AM29" t="s">
        <v>140</v>
      </c>
      <c r="AQ29" t="s">
        <v>202</v>
      </c>
      <c r="AR29">
        <v>0.25</v>
      </c>
      <c r="AS29" t="s">
        <v>183</v>
      </c>
      <c r="AT29">
        <v>50</v>
      </c>
      <c r="AU29" t="s">
        <v>203</v>
      </c>
      <c r="AW29">
        <v>5.0000000745058101E-2</v>
      </c>
      <c r="AX29" t="s">
        <v>204</v>
      </c>
      <c r="AY29" t="s">
        <v>140</v>
      </c>
      <c r="AZ29" t="s">
        <v>140</v>
      </c>
      <c r="BA29" t="s">
        <v>193</v>
      </c>
      <c r="BB29" t="s">
        <v>205</v>
      </c>
      <c r="BC29">
        <v>1</v>
      </c>
      <c r="BD29">
        <v>0</v>
      </c>
      <c r="BE29">
        <v>22</v>
      </c>
      <c r="BF29" t="s">
        <v>185</v>
      </c>
      <c r="BG29">
        <v>528</v>
      </c>
      <c r="BI29">
        <v>1</v>
      </c>
      <c r="BJ29">
        <v>4</v>
      </c>
      <c r="BK29" t="s">
        <v>186</v>
      </c>
      <c r="BL29">
        <v>4</v>
      </c>
      <c r="BM29" t="s">
        <v>206</v>
      </c>
      <c r="BN29">
        <v>1</v>
      </c>
      <c r="BO29" t="s">
        <v>159</v>
      </c>
      <c r="BP29">
        <v>1</v>
      </c>
      <c r="BQ29" t="s">
        <v>192</v>
      </c>
      <c r="BR29">
        <v>1</v>
      </c>
      <c r="BS29" t="s">
        <v>207</v>
      </c>
      <c r="BT29" s="1">
        <v>4.2361111E-2</v>
      </c>
      <c r="BV29">
        <v>1</v>
      </c>
      <c r="BW29">
        <v>1</v>
      </c>
      <c r="BX29" t="s">
        <v>208</v>
      </c>
      <c r="BY29">
        <v>0</v>
      </c>
      <c r="BZ29" t="s">
        <v>181</v>
      </c>
      <c r="CG29">
        <v>0</v>
      </c>
      <c r="CH29">
        <v>1</v>
      </c>
      <c r="CI29">
        <v>1</v>
      </c>
      <c r="CJ29">
        <v>0</v>
      </c>
      <c r="CK29">
        <v>0</v>
      </c>
      <c r="CL29">
        <v>0</v>
      </c>
      <c r="CM29">
        <v>0</v>
      </c>
      <c r="CN29" t="s">
        <v>164</v>
      </c>
      <c r="CP29">
        <v>0</v>
      </c>
      <c r="CQ29">
        <v>0</v>
      </c>
      <c r="CS29">
        <v>5</v>
      </c>
      <c r="CT29">
        <v>10</v>
      </c>
      <c r="CU29">
        <v>10</v>
      </c>
      <c r="CV29">
        <v>1</v>
      </c>
      <c r="CW29">
        <v>10</v>
      </c>
      <c r="CX29">
        <v>5</v>
      </c>
      <c r="CY29">
        <v>0</v>
      </c>
      <c r="CZ29">
        <v>10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10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4</v>
      </c>
      <c r="DP29">
        <v>5</v>
      </c>
      <c r="DQ29">
        <v>0</v>
      </c>
      <c r="DR29">
        <v>0</v>
      </c>
      <c r="DS29">
        <v>0</v>
      </c>
      <c r="DT29">
        <v>0</v>
      </c>
      <c r="DU29">
        <v>5</v>
      </c>
      <c r="DV29">
        <v>0</v>
      </c>
      <c r="DW29">
        <v>196</v>
      </c>
      <c r="DX29">
        <v>110</v>
      </c>
      <c r="DY29">
        <v>0.56122446060180697</v>
      </c>
      <c r="DZ29" t="s">
        <v>144</v>
      </c>
      <c r="EA29">
        <v>23414</v>
      </c>
      <c r="EB29" t="s">
        <v>209</v>
      </c>
      <c r="EC29" t="s">
        <v>210</v>
      </c>
    </row>
    <row r="30" spans="1:133" hidden="1" x14ac:dyDescent="0.25">
      <c r="A30">
        <v>6</v>
      </c>
      <c r="B30">
        <v>23425</v>
      </c>
      <c r="C30" t="s">
        <v>132</v>
      </c>
      <c r="D30" t="s">
        <v>192</v>
      </c>
      <c r="E30" t="s">
        <v>173</v>
      </c>
      <c r="F30" t="s">
        <v>239</v>
      </c>
      <c r="G30" s="1">
        <v>4</v>
      </c>
      <c r="H30" t="s">
        <v>156</v>
      </c>
      <c r="I30" t="s">
        <v>140</v>
      </c>
      <c r="L30">
        <v>21059488</v>
      </c>
      <c r="N30" t="s">
        <v>196</v>
      </c>
      <c r="O30">
        <v>2011</v>
      </c>
      <c r="P30" t="s">
        <v>197</v>
      </c>
      <c r="Q30">
        <v>1839</v>
      </c>
      <c r="R30">
        <v>49411</v>
      </c>
      <c r="T30">
        <v>364.06201171875</v>
      </c>
      <c r="U30" t="s">
        <v>140</v>
      </c>
      <c r="W30" t="s">
        <v>198</v>
      </c>
      <c r="Y30" t="s">
        <v>142</v>
      </c>
      <c r="Z30">
        <v>4</v>
      </c>
      <c r="AA30" t="s">
        <v>144</v>
      </c>
      <c r="AB30">
        <v>10</v>
      </c>
      <c r="AC30" t="s">
        <v>180</v>
      </c>
      <c r="AF30" t="s">
        <v>140</v>
      </c>
      <c r="AG30" t="s">
        <v>199</v>
      </c>
      <c r="AH30" t="s">
        <v>140</v>
      </c>
      <c r="AI30" t="s">
        <v>200</v>
      </c>
      <c r="AJ30" t="s">
        <v>201</v>
      </c>
      <c r="AK30" t="s">
        <v>140</v>
      </c>
      <c r="AL30" t="s">
        <v>149</v>
      </c>
      <c r="AM30" t="s">
        <v>140</v>
      </c>
      <c r="AQ30" t="s">
        <v>202</v>
      </c>
      <c r="AR30">
        <v>0.25</v>
      </c>
      <c r="AS30" t="s">
        <v>183</v>
      </c>
      <c r="AT30">
        <v>15</v>
      </c>
      <c r="AU30" t="s">
        <v>203</v>
      </c>
      <c r="AW30">
        <v>1.4999999664723899E-2</v>
      </c>
      <c r="AX30" t="s">
        <v>204</v>
      </c>
      <c r="AY30" t="s">
        <v>140</v>
      </c>
      <c r="AZ30" t="s">
        <v>140</v>
      </c>
      <c r="BA30" t="s">
        <v>173</v>
      </c>
      <c r="BC30">
        <v>1</v>
      </c>
      <c r="BD30">
        <v>1</v>
      </c>
      <c r="BE30">
        <v>18</v>
      </c>
      <c r="BF30" t="s">
        <v>185</v>
      </c>
      <c r="BG30">
        <v>432</v>
      </c>
      <c r="BI30">
        <v>1</v>
      </c>
      <c r="BJ30">
        <v>2</v>
      </c>
      <c r="BK30" t="s">
        <v>186</v>
      </c>
      <c r="BL30">
        <v>2</v>
      </c>
      <c r="BM30" t="s">
        <v>206</v>
      </c>
      <c r="BN30">
        <v>1</v>
      </c>
      <c r="BO30" t="s">
        <v>159</v>
      </c>
      <c r="BP30">
        <v>1</v>
      </c>
      <c r="BQ30" t="s">
        <v>192</v>
      </c>
      <c r="BR30">
        <v>1</v>
      </c>
      <c r="BS30" t="s">
        <v>212</v>
      </c>
      <c r="BT30" s="1">
        <v>4.2361111E-2</v>
      </c>
      <c r="BV30">
        <v>1</v>
      </c>
      <c r="BW30">
        <v>1</v>
      </c>
      <c r="BX30" t="s">
        <v>208</v>
      </c>
      <c r="BY30">
        <v>0</v>
      </c>
      <c r="BZ30" t="s">
        <v>181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 t="s">
        <v>164</v>
      </c>
      <c r="CP30">
        <v>0</v>
      </c>
      <c r="CQ30">
        <v>0</v>
      </c>
      <c r="CS30">
        <v>5</v>
      </c>
      <c r="CT30">
        <v>10</v>
      </c>
      <c r="CU30">
        <v>8</v>
      </c>
      <c r="CV30">
        <v>1</v>
      </c>
      <c r="CW30">
        <v>10</v>
      </c>
      <c r="CX30">
        <v>5</v>
      </c>
      <c r="CY30">
        <v>0</v>
      </c>
      <c r="CZ30">
        <v>10</v>
      </c>
      <c r="DA30">
        <v>5</v>
      </c>
      <c r="DB30">
        <v>5</v>
      </c>
      <c r="DC30">
        <v>5</v>
      </c>
      <c r="DD30">
        <v>5</v>
      </c>
      <c r="DE30">
        <v>5</v>
      </c>
      <c r="DF30">
        <v>5</v>
      </c>
      <c r="DG30">
        <v>5</v>
      </c>
      <c r="DH30">
        <v>10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4</v>
      </c>
      <c r="DP30">
        <v>5</v>
      </c>
      <c r="DQ30">
        <v>0</v>
      </c>
      <c r="DR30">
        <v>0</v>
      </c>
      <c r="DS30">
        <v>0</v>
      </c>
      <c r="DT30">
        <v>0</v>
      </c>
      <c r="DU30">
        <v>5</v>
      </c>
      <c r="DV30">
        <v>0</v>
      </c>
      <c r="DW30">
        <v>181</v>
      </c>
      <c r="DX30">
        <v>108</v>
      </c>
      <c r="DY30">
        <v>0.596685111522675</v>
      </c>
      <c r="DZ30" t="s">
        <v>144</v>
      </c>
      <c r="EA30">
        <v>23425</v>
      </c>
      <c r="EB30" t="s">
        <v>213</v>
      </c>
      <c r="EC30" t="s">
        <v>210</v>
      </c>
    </row>
    <row r="31" spans="1:133" hidden="1" x14ac:dyDescent="0.25">
      <c r="A31">
        <v>7</v>
      </c>
      <c r="B31">
        <v>23432</v>
      </c>
      <c r="C31" t="s">
        <v>132</v>
      </c>
      <c r="D31" t="s">
        <v>192</v>
      </c>
      <c r="E31" t="s">
        <v>173</v>
      </c>
      <c r="F31" t="s">
        <v>239</v>
      </c>
      <c r="G31" s="1">
        <v>24</v>
      </c>
      <c r="H31" t="s">
        <v>156</v>
      </c>
      <c r="I31" t="s">
        <v>140</v>
      </c>
      <c r="L31">
        <v>21059488</v>
      </c>
      <c r="N31" t="s">
        <v>196</v>
      </c>
      <c r="O31">
        <v>2011</v>
      </c>
      <c r="P31" t="s">
        <v>197</v>
      </c>
      <c r="Q31">
        <v>1846</v>
      </c>
      <c r="R31">
        <v>49418</v>
      </c>
      <c r="T31">
        <v>364.06201171875</v>
      </c>
      <c r="U31" t="s">
        <v>140</v>
      </c>
      <c r="W31" t="s">
        <v>211</v>
      </c>
      <c r="Y31" t="s">
        <v>142</v>
      </c>
      <c r="Z31">
        <v>4</v>
      </c>
      <c r="AA31" t="s">
        <v>144</v>
      </c>
      <c r="AB31">
        <v>10</v>
      </c>
      <c r="AC31" t="s">
        <v>180</v>
      </c>
      <c r="AF31" t="s">
        <v>140</v>
      </c>
      <c r="AG31" t="s">
        <v>199</v>
      </c>
      <c r="AH31" t="s">
        <v>140</v>
      </c>
      <c r="AI31" t="s">
        <v>200</v>
      </c>
      <c r="AJ31" t="s">
        <v>201</v>
      </c>
      <c r="AK31" t="s">
        <v>140</v>
      </c>
      <c r="AL31" t="s">
        <v>149</v>
      </c>
      <c r="AM31" t="s">
        <v>140</v>
      </c>
      <c r="AQ31" t="s">
        <v>202</v>
      </c>
      <c r="AR31">
        <v>0.25</v>
      </c>
      <c r="AS31" t="s">
        <v>183</v>
      </c>
      <c r="AT31">
        <v>15</v>
      </c>
      <c r="AU31" t="s">
        <v>203</v>
      </c>
      <c r="AW31">
        <v>1.4999999664723899E-2</v>
      </c>
      <c r="AX31" t="s">
        <v>204</v>
      </c>
      <c r="AY31" t="s">
        <v>140</v>
      </c>
      <c r="AZ31" t="s">
        <v>140</v>
      </c>
      <c r="BA31" t="s">
        <v>173</v>
      </c>
      <c r="BC31">
        <v>1</v>
      </c>
      <c r="BD31">
        <v>1</v>
      </c>
      <c r="BE31">
        <v>18</v>
      </c>
      <c r="BF31" t="s">
        <v>185</v>
      </c>
      <c r="BG31">
        <v>432</v>
      </c>
      <c r="BI31">
        <v>1</v>
      </c>
      <c r="BJ31">
        <v>2</v>
      </c>
      <c r="BK31" t="s">
        <v>186</v>
      </c>
      <c r="BL31">
        <v>2</v>
      </c>
      <c r="BM31" t="s">
        <v>206</v>
      </c>
      <c r="BN31">
        <v>1</v>
      </c>
      <c r="BO31" t="s">
        <v>159</v>
      </c>
      <c r="BP31">
        <v>1</v>
      </c>
      <c r="BQ31" t="s">
        <v>192</v>
      </c>
      <c r="BR31">
        <v>1</v>
      </c>
      <c r="BS31" t="s">
        <v>212</v>
      </c>
      <c r="BT31" s="1">
        <v>4.2361111E-2</v>
      </c>
      <c r="BV31">
        <v>1</v>
      </c>
      <c r="BW31">
        <v>1</v>
      </c>
      <c r="BX31" t="s">
        <v>208</v>
      </c>
      <c r="BY31">
        <v>0</v>
      </c>
      <c r="BZ31" t="s">
        <v>181</v>
      </c>
      <c r="CG31">
        <v>0</v>
      </c>
      <c r="CH31">
        <v>1</v>
      </c>
      <c r="CI31">
        <v>1</v>
      </c>
      <c r="CJ31">
        <v>0</v>
      </c>
      <c r="CK31">
        <v>0</v>
      </c>
      <c r="CL31">
        <v>0</v>
      </c>
      <c r="CM31">
        <v>0</v>
      </c>
      <c r="CN31" t="s">
        <v>164</v>
      </c>
      <c r="CP31">
        <v>0</v>
      </c>
      <c r="CQ31">
        <v>0</v>
      </c>
      <c r="CS31">
        <v>5</v>
      </c>
      <c r="CT31">
        <v>10</v>
      </c>
      <c r="CU31">
        <v>8</v>
      </c>
      <c r="CV31">
        <v>1</v>
      </c>
      <c r="CW31">
        <v>10</v>
      </c>
      <c r="CX31">
        <v>5</v>
      </c>
      <c r="CY31">
        <v>0</v>
      </c>
      <c r="CZ31">
        <v>10</v>
      </c>
      <c r="DA31">
        <v>5</v>
      </c>
      <c r="DB31">
        <v>5</v>
      </c>
      <c r="DC31">
        <v>5</v>
      </c>
      <c r="DD31">
        <v>5</v>
      </c>
      <c r="DE31">
        <v>5</v>
      </c>
      <c r="DF31">
        <v>5</v>
      </c>
      <c r="DG31">
        <v>5</v>
      </c>
      <c r="DH31">
        <v>10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4</v>
      </c>
      <c r="DP31">
        <v>5</v>
      </c>
      <c r="DQ31">
        <v>0</v>
      </c>
      <c r="DR31">
        <v>0</v>
      </c>
      <c r="DS31">
        <v>0</v>
      </c>
      <c r="DT31">
        <v>0</v>
      </c>
      <c r="DU31">
        <v>5</v>
      </c>
      <c r="DV31">
        <v>0</v>
      </c>
      <c r="DW31">
        <v>181</v>
      </c>
      <c r="DX31">
        <v>108</v>
      </c>
      <c r="DY31">
        <v>0.596685111522675</v>
      </c>
      <c r="DZ31" t="s">
        <v>144</v>
      </c>
      <c r="EA31">
        <v>23432</v>
      </c>
      <c r="EB31" t="s">
        <v>213</v>
      </c>
      <c r="EC31" t="s">
        <v>210</v>
      </c>
    </row>
    <row r="32" spans="1:133" hidden="1" x14ac:dyDescent="0.25">
      <c r="A32">
        <v>55</v>
      </c>
      <c r="B32">
        <v>25987</v>
      </c>
      <c r="C32" t="s">
        <v>132</v>
      </c>
      <c r="D32" t="s">
        <v>192</v>
      </c>
      <c r="E32" t="s">
        <v>193</v>
      </c>
      <c r="F32" t="s">
        <v>239</v>
      </c>
      <c r="G32" s="1">
        <v>24</v>
      </c>
      <c r="H32" t="s">
        <v>156</v>
      </c>
      <c r="L32">
        <v>17695932</v>
      </c>
      <c r="N32" t="s">
        <v>196</v>
      </c>
      <c r="O32">
        <v>2007</v>
      </c>
      <c r="P32" t="s">
        <v>139</v>
      </c>
      <c r="Q32">
        <v>4401</v>
      </c>
      <c r="R32">
        <v>100854</v>
      </c>
      <c r="T32">
        <v>364.05999755859398</v>
      </c>
      <c r="U32" t="s">
        <v>177</v>
      </c>
      <c r="W32" t="s">
        <v>214</v>
      </c>
      <c r="X32">
        <v>544.09997558593795</v>
      </c>
      <c r="Y32" t="s">
        <v>142</v>
      </c>
      <c r="Z32">
        <v>4</v>
      </c>
      <c r="AA32" t="s">
        <v>144</v>
      </c>
      <c r="AB32">
        <v>8</v>
      </c>
      <c r="AC32" t="s">
        <v>180</v>
      </c>
      <c r="AD32">
        <v>97</v>
      </c>
      <c r="AF32" t="s">
        <v>140</v>
      </c>
      <c r="AG32" t="s">
        <v>146</v>
      </c>
      <c r="AH32" t="s">
        <v>140</v>
      </c>
      <c r="AJ32" t="s">
        <v>147</v>
      </c>
      <c r="AK32" t="s">
        <v>148</v>
      </c>
      <c r="AL32" t="s">
        <v>149</v>
      </c>
      <c r="AM32" t="s">
        <v>140</v>
      </c>
      <c r="AN32" t="s">
        <v>150</v>
      </c>
      <c r="AO32" t="s">
        <v>215</v>
      </c>
      <c r="AQ32" t="s">
        <v>181</v>
      </c>
      <c r="AR32">
        <v>0.25</v>
      </c>
      <c r="AS32" t="s">
        <v>183</v>
      </c>
      <c r="AT32">
        <v>200</v>
      </c>
      <c r="AU32" t="s">
        <v>155</v>
      </c>
      <c r="AW32">
        <v>200</v>
      </c>
      <c r="AX32" t="s">
        <v>155</v>
      </c>
      <c r="AZ32" t="s">
        <v>140</v>
      </c>
      <c r="BA32" t="s">
        <v>193</v>
      </c>
      <c r="BB32" t="s">
        <v>205</v>
      </c>
      <c r="BC32">
        <v>1</v>
      </c>
      <c r="BD32">
        <v>0</v>
      </c>
      <c r="BE32">
        <v>15</v>
      </c>
      <c r="BF32" t="s">
        <v>185</v>
      </c>
      <c r="BG32">
        <v>360</v>
      </c>
      <c r="BI32">
        <v>1</v>
      </c>
      <c r="BJ32">
        <v>5</v>
      </c>
      <c r="BK32" t="s">
        <v>186</v>
      </c>
      <c r="BL32">
        <v>5</v>
      </c>
      <c r="BM32" t="s">
        <v>186</v>
      </c>
      <c r="BN32">
        <v>1</v>
      </c>
      <c r="BO32" t="s">
        <v>159</v>
      </c>
      <c r="BP32">
        <v>1</v>
      </c>
      <c r="BQ32" t="s">
        <v>192</v>
      </c>
      <c r="BR32">
        <v>1</v>
      </c>
      <c r="BS32" t="s">
        <v>216</v>
      </c>
      <c r="BT32" s="1">
        <v>5.0000000000000001E-3</v>
      </c>
      <c r="BV32">
        <v>1</v>
      </c>
      <c r="BW32">
        <v>1</v>
      </c>
      <c r="BX32" t="s">
        <v>217</v>
      </c>
      <c r="BY32">
        <v>0</v>
      </c>
      <c r="CG32">
        <v>0</v>
      </c>
      <c r="CH32">
        <v>1</v>
      </c>
      <c r="CI32">
        <v>1</v>
      </c>
      <c r="CJ32">
        <v>0</v>
      </c>
      <c r="CK32">
        <v>0</v>
      </c>
      <c r="CL32">
        <v>0</v>
      </c>
      <c r="CM32">
        <v>0</v>
      </c>
      <c r="CN32" t="s">
        <v>164</v>
      </c>
      <c r="CO32" t="s">
        <v>218</v>
      </c>
      <c r="CP32">
        <v>0</v>
      </c>
      <c r="CQ32">
        <v>0</v>
      </c>
      <c r="CS32">
        <v>5</v>
      </c>
      <c r="CT32">
        <v>10</v>
      </c>
      <c r="CU32">
        <v>8</v>
      </c>
      <c r="CV32">
        <v>3</v>
      </c>
      <c r="CW32">
        <v>10</v>
      </c>
      <c r="CX32">
        <v>3</v>
      </c>
      <c r="CY32">
        <v>0</v>
      </c>
      <c r="CZ32">
        <v>10</v>
      </c>
      <c r="DA32">
        <v>5</v>
      </c>
      <c r="DB32">
        <v>5</v>
      </c>
      <c r="DC32">
        <v>5</v>
      </c>
      <c r="DD32">
        <v>5</v>
      </c>
      <c r="DE32">
        <v>5</v>
      </c>
      <c r="DF32">
        <v>5</v>
      </c>
      <c r="DG32">
        <v>5</v>
      </c>
      <c r="DH32">
        <v>10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4</v>
      </c>
      <c r="DP32">
        <v>5</v>
      </c>
      <c r="DQ32">
        <v>0</v>
      </c>
      <c r="DR32">
        <v>0</v>
      </c>
      <c r="DS32">
        <v>0</v>
      </c>
      <c r="DT32">
        <v>0</v>
      </c>
      <c r="DU32">
        <v>5</v>
      </c>
      <c r="DV32">
        <v>0</v>
      </c>
      <c r="DW32">
        <v>196</v>
      </c>
      <c r="DX32">
        <v>108</v>
      </c>
      <c r="DY32">
        <v>0.55102038383483898</v>
      </c>
      <c r="DZ32" t="s">
        <v>144</v>
      </c>
      <c r="EA32">
        <v>25987</v>
      </c>
      <c r="EB32" t="s">
        <v>219</v>
      </c>
      <c r="EC32" t="s">
        <v>167</v>
      </c>
    </row>
    <row r="33" spans="1:133" hidden="1" x14ac:dyDescent="0.25">
      <c r="A33">
        <v>47</v>
      </c>
      <c r="B33">
        <v>25775</v>
      </c>
      <c r="C33" t="s">
        <v>132</v>
      </c>
      <c r="D33" t="s">
        <v>133</v>
      </c>
      <c r="E33" t="s">
        <v>173</v>
      </c>
      <c r="F33" t="s">
        <v>240</v>
      </c>
      <c r="G33" s="1">
        <v>0.1963</v>
      </c>
      <c r="H33" t="s">
        <v>241</v>
      </c>
      <c r="L33">
        <v>12499116</v>
      </c>
      <c r="N33" t="s">
        <v>176</v>
      </c>
      <c r="O33">
        <v>2003</v>
      </c>
      <c r="P33" t="s">
        <v>139</v>
      </c>
      <c r="Q33">
        <v>4189</v>
      </c>
      <c r="R33">
        <v>100200</v>
      </c>
      <c r="T33">
        <v>364.05999755859398</v>
      </c>
      <c r="U33" t="s">
        <v>177</v>
      </c>
      <c r="W33" t="s">
        <v>178</v>
      </c>
      <c r="Y33" t="s">
        <v>179</v>
      </c>
      <c r="Z33">
        <v>3</v>
      </c>
      <c r="AA33" t="s">
        <v>180</v>
      </c>
      <c r="AB33" t="s">
        <v>181</v>
      </c>
      <c r="AE33" t="s">
        <v>181</v>
      </c>
      <c r="AF33" t="s">
        <v>140</v>
      </c>
      <c r="AG33" t="s">
        <v>182</v>
      </c>
      <c r="AH33" t="s">
        <v>140</v>
      </c>
      <c r="AJ33" t="s">
        <v>147</v>
      </c>
      <c r="AK33" t="s">
        <v>148</v>
      </c>
      <c r="AL33" t="s">
        <v>149</v>
      </c>
      <c r="AM33" t="s">
        <v>140</v>
      </c>
      <c r="AN33" t="s">
        <v>150</v>
      </c>
      <c r="AO33" t="s">
        <v>151</v>
      </c>
      <c r="AQ33" t="s">
        <v>181</v>
      </c>
      <c r="AR33">
        <v>0.25</v>
      </c>
      <c r="AS33" t="s">
        <v>183</v>
      </c>
      <c r="AT33">
        <v>48.64</v>
      </c>
      <c r="AU33" t="s">
        <v>184</v>
      </c>
      <c r="AW33">
        <v>17.707878112793001</v>
      </c>
      <c r="AX33" t="s">
        <v>155</v>
      </c>
      <c r="AZ33" t="s">
        <v>140</v>
      </c>
      <c r="BA33" t="s">
        <v>173</v>
      </c>
      <c r="BC33">
        <v>1</v>
      </c>
      <c r="BD33">
        <v>1</v>
      </c>
      <c r="BE33">
        <v>1</v>
      </c>
      <c r="BF33" t="s">
        <v>185</v>
      </c>
      <c r="BG33">
        <v>24</v>
      </c>
      <c r="BI33">
        <v>1</v>
      </c>
      <c r="BJ33">
        <v>2.5</v>
      </c>
      <c r="BK33" t="s">
        <v>186</v>
      </c>
      <c r="BL33">
        <v>2.5</v>
      </c>
      <c r="BM33" t="s">
        <v>186</v>
      </c>
      <c r="BN33">
        <v>1</v>
      </c>
      <c r="BO33" t="s">
        <v>159</v>
      </c>
      <c r="BP33">
        <v>1</v>
      </c>
      <c r="BQ33" t="s">
        <v>133</v>
      </c>
      <c r="BR33">
        <v>1</v>
      </c>
      <c r="BS33" t="s">
        <v>187</v>
      </c>
      <c r="BV33">
        <v>1</v>
      </c>
      <c r="BW33">
        <v>0</v>
      </c>
      <c r="BX33" t="s">
        <v>181</v>
      </c>
      <c r="BZ33" t="s">
        <v>188</v>
      </c>
      <c r="CA33" t="s">
        <v>189</v>
      </c>
      <c r="CB33" t="s">
        <v>140</v>
      </c>
      <c r="CC33" t="s">
        <v>140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 t="s">
        <v>164</v>
      </c>
      <c r="CO33" t="s">
        <v>190</v>
      </c>
      <c r="CP33">
        <v>0</v>
      </c>
      <c r="CQ33">
        <v>0</v>
      </c>
      <c r="CS33">
        <v>5</v>
      </c>
      <c r="CT33">
        <v>5</v>
      </c>
      <c r="CU33">
        <v>0</v>
      </c>
      <c r="CV33">
        <v>1</v>
      </c>
      <c r="CW33">
        <v>10</v>
      </c>
      <c r="CX33">
        <v>3</v>
      </c>
      <c r="CY33">
        <v>0</v>
      </c>
      <c r="CZ33">
        <v>10</v>
      </c>
      <c r="DA33">
        <v>5</v>
      </c>
      <c r="DB33">
        <v>5</v>
      </c>
      <c r="DC33">
        <v>5</v>
      </c>
      <c r="DD33">
        <v>5</v>
      </c>
      <c r="DE33">
        <v>5</v>
      </c>
      <c r="DF33">
        <v>5</v>
      </c>
      <c r="DG33">
        <v>0</v>
      </c>
      <c r="DH33">
        <v>2</v>
      </c>
      <c r="DI33">
        <v>5</v>
      </c>
      <c r="DJ33">
        <v>10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10</v>
      </c>
      <c r="DT33">
        <v>0</v>
      </c>
      <c r="DU33">
        <v>5</v>
      </c>
      <c r="DV33">
        <v>0</v>
      </c>
      <c r="DW33">
        <v>181</v>
      </c>
      <c r="DX33">
        <v>96</v>
      </c>
      <c r="DY33">
        <v>0.53038674592971802</v>
      </c>
      <c r="DZ33" t="s">
        <v>144</v>
      </c>
      <c r="EA33">
        <v>25775</v>
      </c>
      <c r="EB33" t="s">
        <v>191</v>
      </c>
      <c r="EC33" t="s">
        <v>167</v>
      </c>
    </row>
    <row r="34" spans="1:133" hidden="1" x14ac:dyDescent="0.25">
      <c r="A34">
        <v>50</v>
      </c>
      <c r="B34">
        <v>25776</v>
      </c>
      <c r="C34" t="s">
        <v>132</v>
      </c>
      <c r="D34" t="s">
        <v>133</v>
      </c>
      <c r="E34" t="s">
        <v>173</v>
      </c>
      <c r="F34" t="s">
        <v>240</v>
      </c>
      <c r="G34" s="1">
        <v>0.20069999999999999</v>
      </c>
      <c r="H34" t="s">
        <v>241</v>
      </c>
      <c r="L34">
        <v>12499116</v>
      </c>
      <c r="N34" t="s">
        <v>176</v>
      </c>
      <c r="O34">
        <v>2003</v>
      </c>
      <c r="P34" t="s">
        <v>139</v>
      </c>
      <c r="Q34">
        <v>4190</v>
      </c>
      <c r="R34">
        <v>100201</v>
      </c>
      <c r="T34">
        <v>364.05999755859398</v>
      </c>
      <c r="U34" t="s">
        <v>177</v>
      </c>
      <c r="W34" t="s">
        <v>178</v>
      </c>
      <c r="Y34" t="s">
        <v>179</v>
      </c>
      <c r="Z34">
        <v>3</v>
      </c>
      <c r="AA34" t="s">
        <v>180</v>
      </c>
      <c r="AB34" t="s">
        <v>181</v>
      </c>
      <c r="AE34" t="s">
        <v>181</v>
      </c>
      <c r="AF34" t="s">
        <v>140</v>
      </c>
      <c r="AG34" t="s">
        <v>182</v>
      </c>
      <c r="AH34" t="s">
        <v>140</v>
      </c>
      <c r="AJ34" t="s">
        <v>147</v>
      </c>
      <c r="AK34" t="s">
        <v>148</v>
      </c>
      <c r="AL34" t="s">
        <v>170</v>
      </c>
      <c r="AM34" t="s">
        <v>140</v>
      </c>
      <c r="AN34" t="s">
        <v>150</v>
      </c>
      <c r="AO34" t="s">
        <v>151</v>
      </c>
      <c r="AQ34" t="s">
        <v>181</v>
      </c>
      <c r="AR34">
        <v>0.25</v>
      </c>
      <c r="AS34" t="s">
        <v>183</v>
      </c>
      <c r="AT34">
        <v>48.64</v>
      </c>
      <c r="AU34" t="s">
        <v>184</v>
      </c>
      <c r="AW34">
        <v>17.707878112793001</v>
      </c>
      <c r="AX34" t="s">
        <v>155</v>
      </c>
      <c r="AZ34" t="s">
        <v>140</v>
      </c>
      <c r="BA34" t="s">
        <v>173</v>
      </c>
      <c r="BC34">
        <v>1</v>
      </c>
      <c r="BD34">
        <v>1</v>
      </c>
      <c r="BE34">
        <v>1</v>
      </c>
      <c r="BF34" t="s">
        <v>185</v>
      </c>
      <c r="BG34">
        <v>24</v>
      </c>
      <c r="BI34">
        <v>1</v>
      </c>
      <c r="BJ34">
        <v>2.5</v>
      </c>
      <c r="BK34" t="s">
        <v>186</v>
      </c>
      <c r="BL34">
        <v>2.5</v>
      </c>
      <c r="BM34" t="s">
        <v>186</v>
      </c>
      <c r="BN34">
        <v>1</v>
      </c>
      <c r="BO34" t="s">
        <v>159</v>
      </c>
      <c r="BP34">
        <v>1</v>
      </c>
      <c r="BQ34" t="s">
        <v>133</v>
      </c>
      <c r="BR34">
        <v>1</v>
      </c>
      <c r="BS34" t="s">
        <v>187</v>
      </c>
      <c r="BV34">
        <v>1</v>
      </c>
      <c r="BW34">
        <v>0</v>
      </c>
      <c r="BX34" t="s">
        <v>181</v>
      </c>
      <c r="BZ34" t="s">
        <v>188</v>
      </c>
      <c r="CA34" t="s">
        <v>189</v>
      </c>
      <c r="CB34" t="s">
        <v>140</v>
      </c>
      <c r="CC34" t="s">
        <v>140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 t="s">
        <v>164</v>
      </c>
      <c r="CO34" t="s">
        <v>190</v>
      </c>
      <c r="CP34">
        <v>0</v>
      </c>
      <c r="CQ34">
        <v>0</v>
      </c>
      <c r="CS34">
        <v>5</v>
      </c>
      <c r="CT34">
        <v>5</v>
      </c>
      <c r="CU34">
        <v>0</v>
      </c>
      <c r="CV34">
        <v>1</v>
      </c>
      <c r="CW34">
        <v>10</v>
      </c>
      <c r="CX34">
        <v>3</v>
      </c>
      <c r="CY34">
        <v>0</v>
      </c>
      <c r="CZ34">
        <v>10</v>
      </c>
      <c r="DA34">
        <v>5</v>
      </c>
      <c r="DB34">
        <v>5</v>
      </c>
      <c r="DC34">
        <v>5</v>
      </c>
      <c r="DD34">
        <v>5</v>
      </c>
      <c r="DE34">
        <v>5</v>
      </c>
      <c r="DF34">
        <v>5</v>
      </c>
      <c r="DG34">
        <v>0</v>
      </c>
      <c r="DH34">
        <v>2</v>
      </c>
      <c r="DI34">
        <v>5</v>
      </c>
      <c r="DJ34">
        <v>10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10</v>
      </c>
      <c r="DT34">
        <v>0</v>
      </c>
      <c r="DU34">
        <v>5</v>
      </c>
      <c r="DV34">
        <v>0</v>
      </c>
      <c r="DW34">
        <v>181</v>
      </c>
      <c r="DX34">
        <v>96</v>
      </c>
      <c r="DY34">
        <v>0.53038674592971802</v>
      </c>
      <c r="DZ34" t="s">
        <v>144</v>
      </c>
      <c r="EA34">
        <v>25776</v>
      </c>
      <c r="EB34" t="s">
        <v>191</v>
      </c>
      <c r="EC34" t="s">
        <v>167</v>
      </c>
    </row>
    <row r="35" spans="1:133" hidden="1" x14ac:dyDescent="0.25">
      <c r="A35">
        <v>59</v>
      </c>
      <c r="B35">
        <v>26409</v>
      </c>
      <c r="C35" t="s">
        <v>242</v>
      </c>
      <c r="D35" t="s">
        <v>243</v>
      </c>
      <c r="E35" t="s">
        <v>244</v>
      </c>
      <c r="F35" t="s">
        <v>221</v>
      </c>
      <c r="G35" s="1">
        <v>1776</v>
      </c>
      <c r="H35" t="s">
        <v>156</v>
      </c>
      <c r="I35" t="s">
        <v>140</v>
      </c>
      <c r="N35" t="s">
        <v>245</v>
      </c>
      <c r="O35">
        <v>2014</v>
      </c>
      <c r="P35" t="s">
        <v>227</v>
      </c>
      <c r="Q35">
        <v>4823</v>
      </c>
      <c r="R35">
        <v>421</v>
      </c>
      <c r="Z35">
        <v>24</v>
      </c>
      <c r="AA35" t="s">
        <v>144</v>
      </c>
      <c r="AF35" t="s">
        <v>140</v>
      </c>
      <c r="AG35" t="s">
        <v>246</v>
      </c>
      <c r="AH35" t="s">
        <v>140</v>
      </c>
      <c r="AJ35" t="s">
        <v>147</v>
      </c>
      <c r="AK35" t="s">
        <v>148</v>
      </c>
      <c r="AL35" t="s">
        <v>247</v>
      </c>
      <c r="AM35" t="s">
        <v>140</v>
      </c>
      <c r="AQ35" t="s">
        <v>202</v>
      </c>
      <c r="AR35">
        <v>250</v>
      </c>
      <c r="AS35" t="s">
        <v>183</v>
      </c>
      <c r="AT35" t="s">
        <v>248</v>
      </c>
      <c r="AZ35" t="s">
        <v>140</v>
      </c>
      <c r="BA35" t="s">
        <v>244</v>
      </c>
      <c r="BC35">
        <v>1</v>
      </c>
      <c r="BD35">
        <v>0</v>
      </c>
      <c r="BE35" t="s">
        <v>249</v>
      </c>
      <c r="BI35">
        <v>1</v>
      </c>
      <c r="BN35">
        <v>0</v>
      </c>
      <c r="BO35" t="s">
        <v>250</v>
      </c>
      <c r="BP35">
        <v>1</v>
      </c>
      <c r="BQ35" t="s">
        <v>243</v>
      </c>
      <c r="BR35">
        <v>1</v>
      </c>
      <c r="BS35" t="s">
        <v>251</v>
      </c>
      <c r="BV35">
        <v>1</v>
      </c>
      <c r="BZ35" t="s">
        <v>252</v>
      </c>
      <c r="CA35" t="s">
        <v>253</v>
      </c>
      <c r="CB35" t="s">
        <v>140</v>
      </c>
      <c r="CE35" t="s">
        <v>140</v>
      </c>
      <c r="CN35" t="s">
        <v>164</v>
      </c>
      <c r="CQ35">
        <v>0</v>
      </c>
      <c r="DV35">
        <v>0</v>
      </c>
      <c r="EA35">
        <v>26409</v>
      </c>
      <c r="EB35" t="s">
        <v>254</v>
      </c>
      <c r="EC35" t="s">
        <v>254</v>
      </c>
    </row>
    <row r="36" spans="1:133" hidden="1" x14ac:dyDescent="0.25">
      <c r="A36">
        <v>26</v>
      </c>
      <c r="B36">
        <v>24333</v>
      </c>
      <c r="C36" t="s">
        <v>255</v>
      </c>
      <c r="D36" t="s">
        <v>243</v>
      </c>
      <c r="E36" t="s">
        <v>173</v>
      </c>
      <c r="F36" t="s">
        <v>135</v>
      </c>
      <c r="G36" s="1">
        <v>8.0820000000000006E-3</v>
      </c>
      <c r="H36" t="s">
        <v>136</v>
      </c>
      <c r="I36" t="s">
        <v>256</v>
      </c>
      <c r="L36">
        <v>25422127</v>
      </c>
      <c r="N36" t="s">
        <v>257</v>
      </c>
      <c r="O36">
        <v>2015</v>
      </c>
      <c r="P36" t="s">
        <v>197</v>
      </c>
      <c r="Q36">
        <v>2747</v>
      </c>
      <c r="R36">
        <v>50371</v>
      </c>
      <c r="T36">
        <v>364.06201171875</v>
      </c>
      <c r="U36" t="s">
        <v>140</v>
      </c>
      <c r="W36" t="s">
        <v>258</v>
      </c>
      <c r="X36">
        <v>364.06201171875</v>
      </c>
      <c r="Y36" t="s">
        <v>179</v>
      </c>
      <c r="Z36">
        <v>9</v>
      </c>
      <c r="AA36" t="s">
        <v>144</v>
      </c>
      <c r="AB36">
        <v>6</v>
      </c>
      <c r="AC36" t="s">
        <v>145</v>
      </c>
      <c r="AF36" t="s">
        <v>140</v>
      </c>
      <c r="AG36" t="s">
        <v>259</v>
      </c>
      <c r="AH36" t="s">
        <v>140</v>
      </c>
      <c r="AI36" t="s">
        <v>260</v>
      </c>
      <c r="AJ36" t="s">
        <v>201</v>
      </c>
      <c r="AK36" t="s">
        <v>140</v>
      </c>
      <c r="AL36" t="s">
        <v>149</v>
      </c>
      <c r="AM36" t="s">
        <v>140</v>
      </c>
      <c r="AP36" t="s">
        <v>261</v>
      </c>
      <c r="AQ36" t="s">
        <v>262</v>
      </c>
      <c r="AR36">
        <v>2.5000000372528999E-2</v>
      </c>
      <c r="AS36" t="s">
        <v>263</v>
      </c>
      <c r="AT36">
        <v>0.313</v>
      </c>
      <c r="AU36" t="s">
        <v>264</v>
      </c>
      <c r="AW36">
        <v>1.1395099863875699E-4</v>
      </c>
      <c r="AX36" t="s">
        <v>204</v>
      </c>
      <c r="AY36" t="s">
        <v>265</v>
      </c>
      <c r="AZ36" t="s">
        <v>148</v>
      </c>
      <c r="BA36" t="s">
        <v>173</v>
      </c>
      <c r="BC36">
        <v>1</v>
      </c>
      <c r="BD36">
        <v>1</v>
      </c>
      <c r="BE36">
        <v>24</v>
      </c>
      <c r="BF36" t="s">
        <v>156</v>
      </c>
      <c r="BG36">
        <v>24</v>
      </c>
      <c r="BI36">
        <v>1</v>
      </c>
      <c r="BJ36">
        <v>10</v>
      </c>
      <c r="BK36" t="s">
        <v>186</v>
      </c>
      <c r="BL36">
        <v>10</v>
      </c>
      <c r="BM36" t="s">
        <v>206</v>
      </c>
      <c r="BN36">
        <v>1</v>
      </c>
      <c r="BO36" t="s">
        <v>159</v>
      </c>
      <c r="BP36">
        <v>1</v>
      </c>
      <c r="BQ36" t="s">
        <v>243</v>
      </c>
      <c r="BR36">
        <v>1</v>
      </c>
      <c r="BS36" t="s">
        <v>266</v>
      </c>
      <c r="BT36">
        <v>0.211122685</v>
      </c>
      <c r="BV36">
        <v>1</v>
      </c>
      <c r="BW36">
        <v>1</v>
      </c>
      <c r="BX36" t="s">
        <v>181</v>
      </c>
      <c r="BZ36" t="s">
        <v>267</v>
      </c>
      <c r="CB36" t="s">
        <v>140</v>
      </c>
      <c r="CF36" t="s">
        <v>163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1</v>
      </c>
      <c r="CM36">
        <v>0</v>
      </c>
      <c r="CN36" t="s">
        <v>164</v>
      </c>
      <c r="CP36">
        <v>0</v>
      </c>
      <c r="CQ36">
        <v>0</v>
      </c>
      <c r="CS36">
        <v>5</v>
      </c>
      <c r="CT36">
        <v>10</v>
      </c>
      <c r="CU36">
        <v>6</v>
      </c>
      <c r="CV36">
        <v>1</v>
      </c>
      <c r="CW36">
        <v>10</v>
      </c>
      <c r="CX36">
        <v>5</v>
      </c>
      <c r="CY36">
        <v>3</v>
      </c>
      <c r="CZ36">
        <v>5</v>
      </c>
      <c r="DA36">
        <v>5</v>
      </c>
      <c r="DB36">
        <v>5</v>
      </c>
      <c r="DC36">
        <v>5</v>
      </c>
      <c r="DD36">
        <v>5</v>
      </c>
      <c r="DE36">
        <v>5</v>
      </c>
      <c r="DF36">
        <v>5</v>
      </c>
      <c r="DG36">
        <v>5</v>
      </c>
      <c r="DH36">
        <v>2</v>
      </c>
      <c r="DI36">
        <v>5</v>
      </c>
      <c r="DJ36">
        <v>0</v>
      </c>
      <c r="DK36">
        <v>0</v>
      </c>
      <c r="DL36">
        <v>0</v>
      </c>
      <c r="DM36">
        <v>3</v>
      </c>
      <c r="DN36">
        <v>0</v>
      </c>
      <c r="DO36">
        <v>0</v>
      </c>
      <c r="DP36">
        <v>0</v>
      </c>
      <c r="DQ36">
        <v>5</v>
      </c>
      <c r="DR36">
        <v>2</v>
      </c>
      <c r="DS36">
        <v>10</v>
      </c>
      <c r="DT36">
        <v>0</v>
      </c>
      <c r="DU36">
        <v>5</v>
      </c>
      <c r="DV36">
        <v>0</v>
      </c>
      <c r="DW36">
        <v>181</v>
      </c>
      <c r="DX36">
        <v>112</v>
      </c>
      <c r="DY36">
        <v>0.61878454685211204</v>
      </c>
      <c r="DZ36" t="s">
        <v>144</v>
      </c>
      <c r="EA36">
        <v>24333</v>
      </c>
      <c r="EB36" t="s">
        <v>268</v>
      </c>
      <c r="EC36" t="s">
        <v>210</v>
      </c>
    </row>
    <row r="37" spans="1:133" hidden="1" x14ac:dyDescent="0.25">
      <c r="A37">
        <v>33</v>
      </c>
      <c r="B37">
        <v>24341</v>
      </c>
      <c r="C37" t="s">
        <v>255</v>
      </c>
      <c r="D37" t="s">
        <v>243</v>
      </c>
      <c r="E37" t="s">
        <v>173</v>
      </c>
      <c r="F37" t="s">
        <v>135</v>
      </c>
      <c r="G37" s="1">
        <v>8.5920000000000007E-3</v>
      </c>
      <c r="H37" t="s">
        <v>136</v>
      </c>
      <c r="I37" t="s">
        <v>256</v>
      </c>
      <c r="L37">
        <v>25422127</v>
      </c>
      <c r="N37" t="s">
        <v>257</v>
      </c>
      <c r="O37">
        <v>2015</v>
      </c>
      <c r="P37" t="s">
        <v>197</v>
      </c>
      <c r="Q37">
        <v>2755</v>
      </c>
      <c r="R37">
        <v>50379</v>
      </c>
      <c r="T37">
        <v>364.06201171875</v>
      </c>
      <c r="U37" t="s">
        <v>140</v>
      </c>
      <c r="W37" t="s">
        <v>258</v>
      </c>
      <c r="X37">
        <v>364.06201171875</v>
      </c>
      <c r="Y37" t="s">
        <v>179</v>
      </c>
      <c r="Z37">
        <v>9</v>
      </c>
      <c r="AA37" t="s">
        <v>144</v>
      </c>
      <c r="AB37">
        <v>5</v>
      </c>
      <c r="AC37" t="s">
        <v>145</v>
      </c>
      <c r="AF37" t="s">
        <v>140</v>
      </c>
      <c r="AG37" t="s">
        <v>259</v>
      </c>
      <c r="AH37" t="s">
        <v>140</v>
      </c>
      <c r="AI37" t="s">
        <v>260</v>
      </c>
      <c r="AJ37" t="s">
        <v>201</v>
      </c>
      <c r="AK37" t="s">
        <v>140</v>
      </c>
      <c r="AL37" t="s">
        <v>170</v>
      </c>
      <c r="AM37" t="s">
        <v>140</v>
      </c>
      <c r="AP37" t="s">
        <v>261</v>
      </c>
      <c r="AQ37" t="s">
        <v>262</v>
      </c>
      <c r="AR37">
        <v>2.5000000372528999E-2</v>
      </c>
      <c r="AS37" t="s">
        <v>263</v>
      </c>
      <c r="AT37">
        <v>3.13</v>
      </c>
      <c r="AU37" t="s">
        <v>264</v>
      </c>
      <c r="AW37">
        <v>1.1395140318200001E-3</v>
      </c>
      <c r="AX37" t="s">
        <v>204</v>
      </c>
      <c r="AY37" t="s">
        <v>265</v>
      </c>
      <c r="AZ37" t="s">
        <v>148</v>
      </c>
      <c r="BA37" t="s">
        <v>173</v>
      </c>
      <c r="BC37">
        <v>1</v>
      </c>
      <c r="BD37">
        <v>1</v>
      </c>
      <c r="BE37">
        <v>24</v>
      </c>
      <c r="BF37" t="s">
        <v>156</v>
      </c>
      <c r="BG37">
        <v>24</v>
      </c>
      <c r="BI37">
        <v>1</v>
      </c>
      <c r="BJ37">
        <v>10</v>
      </c>
      <c r="BK37" t="s">
        <v>186</v>
      </c>
      <c r="BL37">
        <v>10</v>
      </c>
      <c r="BM37" t="s">
        <v>206</v>
      </c>
      <c r="BN37">
        <v>1</v>
      </c>
      <c r="BO37" t="s">
        <v>159</v>
      </c>
      <c r="BP37">
        <v>1</v>
      </c>
      <c r="BQ37" t="s">
        <v>243</v>
      </c>
      <c r="BR37">
        <v>1</v>
      </c>
      <c r="BS37" t="s">
        <v>266</v>
      </c>
      <c r="BT37">
        <v>0.211122685</v>
      </c>
      <c r="BV37">
        <v>1</v>
      </c>
      <c r="BW37">
        <v>1</v>
      </c>
      <c r="BX37" t="s">
        <v>181</v>
      </c>
      <c r="BZ37" t="s">
        <v>267</v>
      </c>
      <c r="CB37" t="s">
        <v>140</v>
      </c>
      <c r="CF37" t="s">
        <v>163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0</v>
      </c>
      <c r="CN37" t="s">
        <v>164</v>
      </c>
      <c r="CP37">
        <v>0</v>
      </c>
      <c r="CQ37">
        <v>0</v>
      </c>
      <c r="CS37">
        <v>5</v>
      </c>
      <c r="CT37">
        <v>10</v>
      </c>
      <c r="CU37">
        <v>6</v>
      </c>
      <c r="CV37">
        <v>1</v>
      </c>
      <c r="CW37">
        <v>10</v>
      </c>
      <c r="CX37">
        <v>5</v>
      </c>
      <c r="CY37">
        <v>3</v>
      </c>
      <c r="CZ37">
        <v>5</v>
      </c>
      <c r="DA37">
        <v>5</v>
      </c>
      <c r="DB37">
        <v>5</v>
      </c>
      <c r="DC37">
        <v>5</v>
      </c>
      <c r="DD37">
        <v>5</v>
      </c>
      <c r="DE37">
        <v>5</v>
      </c>
      <c r="DF37">
        <v>5</v>
      </c>
      <c r="DG37">
        <v>5</v>
      </c>
      <c r="DH37">
        <v>2</v>
      </c>
      <c r="DI37">
        <v>5</v>
      </c>
      <c r="DJ37">
        <v>0</v>
      </c>
      <c r="DK37">
        <v>0</v>
      </c>
      <c r="DL37">
        <v>0</v>
      </c>
      <c r="DM37">
        <v>3</v>
      </c>
      <c r="DN37">
        <v>0</v>
      </c>
      <c r="DO37">
        <v>0</v>
      </c>
      <c r="DP37">
        <v>0</v>
      </c>
      <c r="DQ37">
        <v>5</v>
      </c>
      <c r="DR37">
        <v>2</v>
      </c>
      <c r="DS37">
        <v>10</v>
      </c>
      <c r="DT37">
        <v>0</v>
      </c>
      <c r="DU37">
        <v>5</v>
      </c>
      <c r="DV37">
        <v>0</v>
      </c>
      <c r="DW37">
        <v>181</v>
      </c>
      <c r="DX37">
        <v>112</v>
      </c>
      <c r="DY37">
        <v>0.61878454685211204</v>
      </c>
      <c r="DZ37" t="s">
        <v>144</v>
      </c>
      <c r="EA37">
        <v>24341</v>
      </c>
      <c r="EB37" t="s">
        <v>269</v>
      </c>
      <c r="EC37" t="s">
        <v>210</v>
      </c>
    </row>
    <row r="38" spans="1:133" hidden="1" x14ac:dyDescent="0.25">
      <c r="A38">
        <v>39</v>
      </c>
      <c r="B38">
        <v>24349</v>
      </c>
      <c r="C38" t="s">
        <v>255</v>
      </c>
      <c r="D38" t="s">
        <v>243</v>
      </c>
      <c r="E38" t="s">
        <v>193</v>
      </c>
      <c r="F38" t="s">
        <v>135</v>
      </c>
      <c r="G38" s="1">
        <v>5.1330000000000001E-2</v>
      </c>
      <c r="H38" t="s">
        <v>136</v>
      </c>
      <c r="I38" t="s">
        <v>256</v>
      </c>
      <c r="L38">
        <v>25422127</v>
      </c>
      <c r="N38" t="s">
        <v>257</v>
      </c>
      <c r="O38">
        <v>2015</v>
      </c>
      <c r="P38" t="s">
        <v>197</v>
      </c>
      <c r="Q38">
        <v>2763</v>
      </c>
      <c r="R38">
        <v>50387</v>
      </c>
      <c r="T38">
        <v>364.06201171875</v>
      </c>
      <c r="U38" t="s">
        <v>140</v>
      </c>
      <c r="W38" t="s">
        <v>258</v>
      </c>
      <c r="X38">
        <v>364.06201171875</v>
      </c>
      <c r="Y38" t="s">
        <v>179</v>
      </c>
      <c r="Z38">
        <v>9</v>
      </c>
      <c r="AA38" t="s">
        <v>144</v>
      </c>
      <c r="AB38">
        <v>5</v>
      </c>
      <c r="AC38" t="s">
        <v>145</v>
      </c>
      <c r="AF38" t="s">
        <v>140</v>
      </c>
      <c r="AG38" t="s">
        <v>259</v>
      </c>
      <c r="AH38" t="s">
        <v>140</v>
      </c>
      <c r="AI38" t="s">
        <v>260</v>
      </c>
      <c r="AJ38" t="s">
        <v>201</v>
      </c>
      <c r="AK38" t="s">
        <v>140</v>
      </c>
      <c r="AL38" t="s">
        <v>149</v>
      </c>
      <c r="AM38" t="s">
        <v>140</v>
      </c>
      <c r="AP38" t="s">
        <v>261</v>
      </c>
      <c r="AQ38" t="s">
        <v>262</v>
      </c>
      <c r="AR38">
        <v>2.5000000372528999E-2</v>
      </c>
      <c r="AS38" t="s">
        <v>263</v>
      </c>
      <c r="AT38">
        <v>3.13</v>
      </c>
      <c r="AU38" t="s">
        <v>264</v>
      </c>
      <c r="AW38">
        <v>1.1395140318200001E-3</v>
      </c>
      <c r="AX38" t="s">
        <v>204</v>
      </c>
      <c r="AY38" t="s">
        <v>265</v>
      </c>
      <c r="AZ38" t="s">
        <v>148</v>
      </c>
      <c r="BA38" t="s">
        <v>193</v>
      </c>
      <c r="BC38">
        <v>1</v>
      </c>
      <c r="BD38">
        <v>0</v>
      </c>
      <c r="BE38">
        <v>24</v>
      </c>
      <c r="BF38" t="s">
        <v>156</v>
      </c>
      <c r="BG38">
        <v>24</v>
      </c>
      <c r="BI38">
        <v>1</v>
      </c>
      <c r="BJ38">
        <v>10</v>
      </c>
      <c r="BK38" t="s">
        <v>186</v>
      </c>
      <c r="BL38">
        <v>10</v>
      </c>
      <c r="BM38" t="s">
        <v>206</v>
      </c>
      <c r="BN38">
        <v>1</v>
      </c>
      <c r="BO38" t="s">
        <v>159</v>
      </c>
      <c r="BP38">
        <v>1</v>
      </c>
      <c r="BQ38" t="s">
        <v>243</v>
      </c>
      <c r="BR38">
        <v>1</v>
      </c>
      <c r="BS38" t="s">
        <v>266</v>
      </c>
      <c r="BT38">
        <v>0.211122685</v>
      </c>
      <c r="BV38">
        <v>1</v>
      </c>
      <c r="BW38">
        <v>1</v>
      </c>
      <c r="BX38" t="s">
        <v>181</v>
      </c>
      <c r="BZ38" t="s">
        <v>267</v>
      </c>
      <c r="CB38" t="s">
        <v>140</v>
      </c>
      <c r="CF38" t="s">
        <v>163</v>
      </c>
      <c r="CG38">
        <v>1</v>
      </c>
      <c r="CH38">
        <v>0</v>
      </c>
      <c r="CI38">
        <v>0</v>
      </c>
      <c r="CJ38">
        <v>1</v>
      </c>
      <c r="CK38">
        <v>1</v>
      </c>
      <c r="CL38">
        <v>0</v>
      </c>
      <c r="CM38">
        <v>0</v>
      </c>
      <c r="CN38" t="s">
        <v>164</v>
      </c>
      <c r="CP38">
        <v>0</v>
      </c>
      <c r="CQ38">
        <v>0</v>
      </c>
      <c r="CS38">
        <v>5</v>
      </c>
      <c r="CT38">
        <v>10</v>
      </c>
      <c r="CU38">
        <v>6</v>
      </c>
      <c r="CV38">
        <v>1</v>
      </c>
      <c r="CW38">
        <v>10</v>
      </c>
      <c r="CX38">
        <v>5</v>
      </c>
      <c r="CY38">
        <v>3</v>
      </c>
      <c r="CZ38">
        <v>5</v>
      </c>
      <c r="DA38">
        <v>5</v>
      </c>
      <c r="DB38">
        <v>5</v>
      </c>
      <c r="DC38">
        <v>5</v>
      </c>
      <c r="DD38">
        <v>5</v>
      </c>
      <c r="DE38">
        <v>5</v>
      </c>
      <c r="DF38">
        <v>5</v>
      </c>
      <c r="DG38">
        <v>5</v>
      </c>
      <c r="DH38">
        <v>2</v>
      </c>
      <c r="DI38">
        <v>5</v>
      </c>
      <c r="DJ38">
        <v>0</v>
      </c>
      <c r="DK38">
        <v>0</v>
      </c>
      <c r="DL38">
        <v>0</v>
      </c>
      <c r="DM38">
        <v>3</v>
      </c>
      <c r="DN38">
        <v>5</v>
      </c>
      <c r="DO38">
        <v>0</v>
      </c>
      <c r="DP38">
        <v>0</v>
      </c>
      <c r="DQ38">
        <v>5</v>
      </c>
      <c r="DR38">
        <v>2</v>
      </c>
      <c r="DS38">
        <v>0</v>
      </c>
      <c r="DT38">
        <v>0</v>
      </c>
      <c r="DU38">
        <v>5</v>
      </c>
      <c r="DV38">
        <v>0</v>
      </c>
      <c r="DW38">
        <v>196</v>
      </c>
      <c r="DX38">
        <v>107</v>
      </c>
      <c r="DY38">
        <v>0.54591834545135498</v>
      </c>
      <c r="DZ38" t="s">
        <v>144</v>
      </c>
      <c r="EA38">
        <v>24349</v>
      </c>
      <c r="EB38" t="s">
        <v>270</v>
      </c>
      <c r="EC38" t="s">
        <v>210</v>
      </c>
    </row>
    <row r="39" spans="1:133" hidden="1" x14ac:dyDescent="0.25">
      <c r="A39">
        <v>43</v>
      </c>
      <c r="B39">
        <v>24357</v>
      </c>
      <c r="C39" t="s">
        <v>255</v>
      </c>
      <c r="D39" t="s">
        <v>243</v>
      </c>
      <c r="E39" t="s">
        <v>193</v>
      </c>
      <c r="F39" t="s">
        <v>135</v>
      </c>
      <c r="G39" s="1">
        <v>7.8270000000000006E-2</v>
      </c>
      <c r="H39" t="s">
        <v>136</v>
      </c>
      <c r="I39" t="s">
        <v>256</v>
      </c>
      <c r="L39">
        <v>25422127</v>
      </c>
      <c r="N39" t="s">
        <v>257</v>
      </c>
      <c r="O39">
        <v>2015</v>
      </c>
      <c r="P39" t="s">
        <v>197</v>
      </c>
      <c r="Q39">
        <v>2771</v>
      </c>
      <c r="R39">
        <v>50395</v>
      </c>
      <c r="T39">
        <v>364.06201171875</v>
      </c>
      <c r="U39" t="s">
        <v>140</v>
      </c>
      <c r="W39" t="s">
        <v>258</v>
      </c>
      <c r="X39">
        <v>364.06201171875</v>
      </c>
      <c r="Y39" t="s">
        <v>179</v>
      </c>
      <c r="Z39">
        <v>9</v>
      </c>
      <c r="AA39" t="s">
        <v>144</v>
      </c>
      <c r="AB39">
        <v>5</v>
      </c>
      <c r="AC39" t="s">
        <v>145</v>
      </c>
      <c r="AF39" t="s">
        <v>140</v>
      </c>
      <c r="AG39" t="s">
        <v>259</v>
      </c>
      <c r="AH39" t="s">
        <v>140</v>
      </c>
      <c r="AI39" t="s">
        <v>260</v>
      </c>
      <c r="AJ39" t="s">
        <v>201</v>
      </c>
      <c r="AK39" t="s">
        <v>140</v>
      </c>
      <c r="AL39" t="s">
        <v>170</v>
      </c>
      <c r="AM39" t="s">
        <v>140</v>
      </c>
      <c r="AP39" t="s">
        <v>261</v>
      </c>
      <c r="AQ39" t="s">
        <v>262</v>
      </c>
      <c r="AR39">
        <v>2.5000000372528999E-2</v>
      </c>
      <c r="AS39" t="s">
        <v>263</v>
      </c>
      <c r="AT39">
        <v>3.13</v>
      </c>
      <c r="AU39" t="s">
        <v>264</v>
      </c>
      <c r="AW39">
        <v>1.1395140318200001E-3</v>
      </c>
      <c r="AX39" t="s">
        <v>204</v>
      </c>
      <c r="AY39" t="s">
        <v>265</v>
      </c>
      <c r="AZ39" t="s">
        <v>148</v>
      </c>
      <c r="BA39" t="s">
        <v>193</v>
      </c>
      <c r="BC39">
        <v>1</v>
      </c>
      <c r="BD39">
        <v>0</v>
      </c>
      <c r="BE39">
        <v>24</v>
      </c>
      <c r="BF39" t="s">
        <v>156</v>
      </c>
      <c r="BG39">
        <v>24</v>
      </c>
      <c r="BI39">
        <v>1</v>
      </c>
      <c r="BJ39">
        <v>10</v>
      </c>
      <c r="BK39" t="s">
        <v>186</v>
      </c>
      <c r="BL39">
        <v>10</v>
      </c>
      <c r="BM39" t="s">
        <v>206</v>
      </c>
      <c r="BN39">
        <v>1</v>
      </c>
      <c r="BO39" t="s">
        <v>159</v>
      </c>
      <c r="BP39">
        <v>1</v>
      </c>
      <c r="BQ39" t="s">
        <v>243</v>
      </c>
      <c r="BR39">
        <v>1</v>
      </c>
      <c r="BS39" t="s">
        <v>266</v>
      </c>
      <c r="BT39">
        <v>0.211122685</v>
      </c>
      <c r="BV39">
        <v>1</v>
      </c>
      <c r="BW39">
        <v>1</v>
      </c>
      <c r="BX39" t="s">
        <v>181</v>
      </c>
      <c r="BZ39" t="s">
        <v>267</v>
      </c>
      <c r="CB39" t="s">
        <v>140</v>
      </c>
      <c r="CF39" t="s">
        <v>163</v>
      </c>
      <c r="CG39">
        <v>1</v>
      </c>
      <c r="CH39">
        <v>0</v>
      </c>
      <c r="CI39">
        <v>0</v>
      </c>
      <c r="CJ39">
        <v>1</v>
      </c>
      <c r="CK39">
        <v>1</v>
      </c>
      <c r="CL39">
        <v>0</v>
      </c>
      <c r="CM39">
        <v>0</v>
      </c>
      <c r="CN39" t="s">
        <v>164</v>
      </c>
      <c r="CP39">
        <v>0</v>
      </c>
      <c r="CQ39">
        <v>0</v>
      </c>
      <c r="CS39">
        <v>5</v>
      </c>
      <c r="CT39">
        <v>10</v>
      </c>
      <c r="CU39">
        <v>6</v>
      </c>
      <c r="CV39">
        <v>1</v>
      </c>
      <c r="CW39">
        <v>10</v>
      </c>
      <c r="CX39">
        <v>5</v>
      </c>
      <c r="CY39">
        <v>3</v>
      </c>
      <c r="CZ39">
        <v>5</v>
      </c>
      <c r="DA39">
        <v>5</v>
      </c>
      <c r="DB39">
        <v>5</v>
      </c>
      <c r="DC39">
        <v>5</v>
      </c>
      <c r="DD39">
        <v>5</v>
      </c>
      <c r="DE39">
        <v>5</v>
      </c>
      <c r="DF39">
        <v>5</v>
      </c>
      <c r="DG39">
        <v>5</v>
      </c>
      <c r="DH39">
        <v>2</v>
      </c>
      <c r="DI39">
        <v>5</v>
      </c>
      <c r="DJ39">
        <v>0</v>
      </c>
      <c r="DK39">
        <v>0</v>
      </c>
      <c r="DL39">
        <v>0</v>
      </c>
      <c r="DM39">
        <v>3</v>
      </c>
      <c r="DN39">
        <v>5</v>
      </c>
      <c r="DO39">
        <v>0</v>
      </c>
      <c r="DP39">
        <v>0</v>
      </c>
      <c r="DQ39">
        <v>5</v>
      </c>
      <c r="DR39">
        <v>2</v>
      </c>
      <c r="DS39">
        <v>0</v>
      </c>
      <c r="DT39">
        <v>0</v>
      </c>
      <c r="DU39">
        <v>5</v>
      </c>
      <c r="DV39">
        <v>0</v>
      </c>
      <c r="DW39">
        <v>196</v>
      </c>
      <c r="DX39">
        <v>107</v>
      </c>
      <c r="DY39">
        <v>0.54591834545135498</v>
      </c>
      <c r="DZ39" t="s">
        <v>144</v>
      </c>
      <c r="EA39">
        <v>24357</v>
      </c>
      <c r="EB39" t="s">
        <v>271</v>
      </c>
      <c r="EC39" t="s">
        <v>210</v>
      </c>
    </row>
    <row r="40" spans="1:133" hidden="1" x14ac:dyDescent="0.25">
      <c r="A40">
        <v>23</v>
      </c>
      <c r="B40">
        <v>24333</v>
      </c>
      <c r="C40" t="s">
        <v>255</v>
      </c>
      <c r="D40" t="s">
        <v>243</v>
      </c>
      <c r="E40" t="s">
        <v>173</v>
      </c>
      <c r="F40" t="s">
        <v>272</v>
      </c>
      <c r="G40" s="1">
        <v>2.9129999999999998E-4</v>
      </c>
      <c r="H40" t="s">
        <v>273</v>
      </c>
      <c r="I40" t="s">
        <v>256</v>
      </c>
      <c r="L40">
        <v>25422127</v>
      </c>
      <c r="N40" t="s">
        <v>257</v>
      </c>
      <c r="O40">
        <v>2015</v>
      </c>
      <c r="P40" t="s">
        <v>197</v>
      </c>
      <c r="Q40">
        <v>2747</v>
      </c>
      <c r="R40">
        <v>50371</v>
      </c>
      <c r="T40">
        <v>364.06201171875</v>
      </c>
      <c r="U40" t="s">
        <v>140</v>
      </c>
      <c r="W40" t="s">
        <v>258</v>
      </c>
      <c r="X40">
        <v>364.06201171875</v>
      </c>
      <c r="Y40" t="s">
        <v>179</v>
      </c>
      <c r="Z40">
        <v>9</v>
      </c>
      <c r="AA40" t="s">
        <v>144</v>
      </c>
      <c r="AB40">
        <v>6</v>
      </c>
      <c r="AC40" t="s">
        <v>145</v>
      </c>
      <c r="AF40" t="s">
        <v>140</v>
      </c>
      <c r="AG40" t="s">
        <v>259</v>
      </c>
      <c r="AH40" t="s">
        <v>140</v>
      </c>
      <c r="AI40" t="s">
        <v>260</v>
      </c>
      <c r="AJ40" t="s">
        <v>201</v>
      </c>
      <c r="AK40" t="s">
        <v>140</v>
      </c>
      <c r="AL40" t="s">
        <v>149</v>
      </c>
      <c r="AM40" t="s">
        <v>140</v>
      </c>
      <c r="AP40" t="s">
        <v>261</v>
      </c>
      <c r="AQ40" t="s">
        <v>262</v>
      </c>
      <c r="AR40">
        <v>2.5000000372528999E-2</v>
      </c>
      <c r="AS40" t="s">
        <v>263</v>
      </c>
      <c r="AT40">
        <v>0.313</v>
      </c>
      <c r="AU40" t="s">
        <v>264</v>
      </c>
      <c r="AW40">
        <v>1.1395099863875699E-4</v>
      </c>
      <c r="AX40" t="s">
        <v>204</v>
      </c>
      <c r="AY40" t="s">
        <v>265</v>
      </c>
      <c r="AZ40" t="s">
        <v>148</v>
      </c>
      <c r="BA40" t="s">
        <v>173</v>
      </c>
      <c r="BC40">
        <v>1</v>
      </c>
      <c r="BD40">
        <v>1</v>
      </c>
      <c r="BE40">
        <v>24</v>
      </c>
      <c r="BF40" t="s">
        <v>156</v>
      </c>
      <c r="BG40">
        <v>24</v>
      </c>
      <c r="BI40">
        <v>1</v>
      </c>
      <c r="BJ40">
        <v>10</v>
      </c>
      <c r="BK40" t="s">
        <v>186</v>
      </c>
      <c r="BL40">
        <v>10</v>
      </c>
      <c r="BM40" t="s">
        <v>206</v>
      </c>
      <c r="BN40">
        <v>1</v>
      </c>
      <c r="BO40" t="s">
        <v>159</v>
      </c>
      <c r="BP40">
        <v>1</v>
      </c>
      <c r="BQ40" t="s">
        <v>243</v>
      </c>
      <c r="BR40">
        <v>1</v>
      </c>
      <c r="BS40" t="s">
        <v>266</v>
      </c>
      <c r="BT40">
        <v>0.211122685</v>
      </c>
      <c r="BV40">
        <v>1</v>
      </c>
      <c r="BW40">
        <v>1</v>
      </c>
      <c r="BX40" t="s">
        <v>181</v>
      </c>
      <c r="BZ40" t="s">
        <v>267</v>
      </c>
      <c r="CB40" t="s">
        <v>140</v>
      </c>
      <c r="CF40" t="s">
        <v>163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0</v>
      </c>
      <c r="CN40" t="s">
        <v>164</v>
      </c>
      <c r="CP40">
        <v>0</v>
      </c>
      <c r="CQ40">
        <v>0</v>
      </c>
      <c r="CS40">
        <v>5</v>
      </c>
      <c r="CT40">
        <v>10</v>
      </c>
      <c r="CU40">
        <v>6</v>
      </c>
      <c r="CV40">
        <v>1</v>
      </c>
      <c r="CW40">
        <v>10</v>
      </c>
      <c r="CX40">
        <v>5</v>
      </c>
      <c r="CY40">
        <v>3</v>
      </c>
      <c r="CZ40">
        <v>5</v>
      </c>
      <c r="DA40">
        <v>5</v>
      </c>
      <c r="DB40">
        <v>5</v>
      </c>
      <c r="DC40">
        <v>5</v>
      </c>
      <c r="DD40">
        <v>5</v>
      </c>
      <c r="DE40">
        <v>5</v>
      </c>
      <c r="DF40">
        <v>5</v>
      </c>
      <c r="DG40">
        <v>5</v>
      </c>
      <c r="DH40">
        <v>2</v>
      </c>
      <c r="DI40">
        <v>5</v>
      </c>
      <c r="DJ40">
        <v>0</v>
      </c>
      <c r="DK40">
        <v>0</v>
      </c>
      <c r="DL40">
        <v>0</v>
      </c>
      <c r="DM40">
        <v>3</v>
      </c>
      <c r="DN40">
        <v>0</v>
      </c>
      <c r="DO40">
        <v>0</v>
      </c>
      <c r="DP40">
        <v>0</v>
      </c>
      <c r="DQ40">
        <v>5</v>
      </c>
      <c r="DR40">
        <v>2</v>
      </c>
      <c r="DS40">
        <v>10</v>
      </c>
      <c r="DT40">
        <v>0</v>
      </c>
      <c r="DU40">
        <v>5</v>
      </c>
      <c r="DV40">
        <v>0</v>
      </c>
      <c r="DW40">
        <v>181</v>
      </c>
      <c r="DX40">
        <v>112</v>
      </c>
      <c r="DY40">
        <v>0.61878454685211204</v>
      </c>
      <c r="DZ40" t="s">
        <v>144</v>
      </c>
      <c r="EA40">
        <v>24333</v>
      </c>
      <c r="EB40" t="s">
        <v>268</v>
      </c>
      <c r="EC40" t="s">
        <v>210</v>
      </c>
    </row>
    <row r="41" spans="1:133" hidden="1" x14ac:dyDescent="0.25">
      <c r="A41">
        <v>29</v>
      </c>
      <c r="B41">
        <v>24341</v>
      </c>
      <c r="C41" t="s">
        <v>255</v>
      </c>
      <c r="D41" t="s">
        <v>243</v>
      </c>
      <c r="E41" t="s">
        <v>173</v>
      </c>
      <c r="F41" t="s">
        <v>272</v>
      </c>
      <c r="G41" s="1">
        <v>3.277E-4</v>
      </c>
      <c r="H41" t="s">
        <v>273</v>
      </c>
      <c r="I41" t="s">
        <v>256</v>
      </c>
      <c r="L41">
        <v>25422127</v>
      </c>
      <c r="N41" t="s">
        <v>257</v>
      </c>
      <c r="O41">
        <v>2015</v>
      </c>
      <c r="P41" t="s">
        <v>197</v>
      </c>
      <c r="Q41">
        <v>2755</v>
      </c>
      <c r="R41">
        <v>50379</v>
      </c>
      <c r="T41">
        <v>364.06201171875</v>
      </c>
      <c r="U41" t="s">
        <v>140</v>
      </c>
      <c r="W41" t="s">
        <v>258</v>
      </c>
      <c r="X41">
        <v>364.06201171875</v>
      </c>
      <c r="Y41" t="s">
        <v>179</v>
      </c>
      <c r="Z41">
        <v>9</v>
      </c>
      <c r="AA41" t="s">
        <v>144</v>
      </c>
      <c r="AB41">
        <v>5</v>
      </c>
      <c r="AC41" t="s">
        <v>145</v>
      </c>
      <c r="AF41" t="s">
        <v>140</v>
      </c>
      <c r="AG41" t="s">
        <v>259</v>
      </c>
      <c r="AH41" t="s">
        <v>140</v>
      </c>
      <c r="AI41" t="s">
        <v>260</v>
      </c>
      <c r="AJ41" t="s">
        <v>201</v>
      </c>
      <c r="AK41" t="s">
        <v>140</v>
      </c>
      <c r="AL41" t="s">
        <v>170</v>
      </c>
      <c r="AM41" t="s">
        <v>140</v>
      </c>
      <c r="AP41" t="s">
        <v>261</v>
      </c>
      <c r="AQ41" t="s">
        <v>262</v>
      </c>
      <c r="AR41">
        <v>2.5000000372528999E-2</v>
      </c>
      <c r="AS41" t="s">
        <v>263</v>
      </c>
      <c r="AT41">
        <v>3.13</v>
      </c>
      <c r="AU41" t="s">
        <v>264</v>
      </c>
      <c r="AW41">
        <v>1.1395140318200001E-3</v>
      </c>
      <c r="AX41" t="s">
        <v>204</v>
      </c>
      <c r="AY41" t="s">
        <v>265</v>
      </c>
      <c r="AZ41" t="s">
        <v>148</v>
      </c>
      <c r="BA41" t="s">
        <v>173</v>
      </c>
      <c r="BC41">
        <v>1</v>
      </c>
      <c r="BD41">
        <v>1</v>
      </c>
      <c r="BE41">
        <v>24</v>
      </c>
      <c r="BF41" t="s">
        <v>156</v>
      </c>
      <c r="BG41">
        <v>24</v>
      </c>
      <c r="BI41">
        <v>1</v>
      </c>
      <c r="BJ41">
        <v>10</v>
      </c>
      <c r="BK41" t="s">
        <v>186</v>
      </c>
      <c r="BL41">
        <v>10</v>
      </c>
      <c r="BM41" t="s">
        <v>206</v>
      </c>
      <c r="BN41">
        <v>1</v>
      </c>
      <c r="BO41" t="s">
        <v>159</v>
      </c>
      <c r="BP41">
        <v>1</v>
      </c>
      <c r="BQ41" t="s">
        <v>243</v>
      </c>
      <c r="BR41">
        <v>1</v>
      </c>
      <c r="BS41" t="s">
        <v>266</v>
      </c>
      <c r="BT41">
        <v>0.211122685</v>
      </c>
      <c r="BV41">
        <v>1</v>
      </c>
      <c r="BW41">
        <v>1</v>
      </c>
      <c r="BX41" t="s">
        <v>181</v>
      </c>
      <c r="BZ41" t="s">
        <v>267</v>
      </c>
      <c r="CB41" t="s">
        <v>140</v>
      </c>
      <c r="CF41" t="s">
        <v>163</v>
      </c>
      <c r="CG41">
        <v>0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0</v>
      </c>
      <c r="CN41" t="s">
        <v>164</v>
      </c>
      <c r="CP41">
        <v>0</v>
      </c>
      <c r="CQ41">
        <v>0</v>
      </c>
      <c r="CS41">
        <v>5</v>
      </c>
      <c r="CT41">
        <v>10</v>
      </c>
      <c r="CU41">
        <v>6</v>
      </c>
      <c r="CV41">
        <v>1</v>
      </c>
      <c r="CW41">
        <v>10</v>
      </c>
      <c r="CX41">
        <v>5</v>
      </c>
      <c r="CY41">
        <v>3</v>
      </c>
      <c r="CZ41">
        <v>5</v>
      </c>
      <c r="DA41">
        <v>5</v>
      </c>
      <c r="DB41">
        <v>5</v>
      </c>
      <c r="DC41">
        <v>5</v>
      </c>
      <c r="DD41">
        <v>5</v>
      </c>
      <c r="DE41">
        <v>5</v>
      </c>
      <c r="DF41">
        <v>5</v>
      </c>
      <c r="DG41">
        <v>5</v>
      </c>
      <c r="DH41">
        <v>2</v>
      </c>
      <c r="DI41">
        <v>5</v>
      </c>
      <c r="DJ41">
        <v>0</v>
      </c>
      <c r="DK41">
        <v>0</v>
      </c>
      <c r="DL41">
        <v>0</v>
      </c>
      <c r="DM41">
        <v>3</v>
      </c>
      <c r="DN41">
        <v>0</v>
      </c>
      <c r="DO41">
        <v>0</v>
      </c>
      <c r="DP41">
        <v>0</v>
      </c>
      <c r="DQ41">
        <v>5</v>
      </c>
      <c r="DR41">
        <v>2</v>
      </c>
      <c r="DS41">
        <v>10</v>
      </c>
      <c r="DT41">
        <v>0</v>
      </c>
      <c r="DU41">
        <v>5</v>
      </c>
      <c r="DV41">
        <v>0</v>
      </c>
      <c r="DW41">
        <v>181</v>
      </c>
      <c r="DX41">
        <v>112</v>
      </c>
      <c r="DY41">
        <v>0.61878454685211204</v>
      </c>
      <c r="DZ41" t="s">
        <v>144</v>
      </c>
      <c r="EA41">
        <v>24341</v>
      </c>
      <c r="EB41" t="s">
        <v>269</v>
      </c>
      <c r="EC41" t="s">
        <v>210</v>
      </c>
    </row>
    <row r="42" spans="1:133" hidden="1" x14ac:dyDescent="0.25">
      <c r="A42">
        <v>27</v>
      </c>
      <c r="B42">
        <v>24333</v>
      </c>
      <c r="C42" t="s">
        <v>255</v>
      </c>
      <c r="D42" t="s">
        <v>243</v>
      </c>
      <c r="E42" t="s">
        <v>173</v>
      </c>
      <c r="F42" t="s">
        <v>274</v>
      </c>
      <c r="G42" s="1">
        <v>1.3829999999999999E-3</v>
      </c>
      <c r="H42" t="s">
        <v>273</v>
      </c>
      <c r="I42" t="s">
        <v>256</v>
      </c>
      <c r="L42">
        <v>25422127</v>
      </c>
      <c r="N42" t="s">
        <v>257</v>
      </c>
      <c r="O42">
        <v>2015</v>
      </c>
      <c r="P42" t="s">
        <v>197</v>
      </c>
      <c r="Q42">
        <v>2747</v>
      </c>
      <c r="R42">
        <v>50371</v>
      </c>
      <c r="T42">
        <v>364.06201171875</v>
      </c>
      <c r="U42" t="s">
        <v>140</v>
      </c>
      <c r="W42" t="s">
        <v>258</v>
      </c>
      <c r="X42">
        <v>364.06201171875</v>
      </c>
      <c r="Y42" t="s">
        <v>179</v>
      </c>
      <c r="Z42">
        <v>9</v>
      </c>
      <c r="AA42" t="s">
        <v>144</v>
      </c>
      <c r="AB42">
        <v>6</v>
      </c>
      <c r="AC42" t="s">
        <v>145</v>
      </c>
      <c r="AF42" t="s">
        <v>140</v>
      </c>
      <c r="AG42" t="s">
        <v>259</v>
      </c>
      <c r="AH42" t="s">
        <v>140</v>
      </c>
      <c r="AI42" t="s">
        <v>260</v>
      </c>
      <c r="AJ42" t="s">
        <v>201</v>
      </c>
      <c r="AK42" t="s">
        <v>140</v>
      </c>
      <c r="AL42" t="s">
        <v>149</v>
      </c>
      <c r="AM42" t="s">
        <v>140</v>
      </c>
      <c r="AP42" t="s">
        <v>261</v>
      </c>
      <c r="AQ42" t="s">
        <v>262</v>
      </c>
      <c r="AR42">
        <v>2.5000000372528999E-2</v>
      </c>
      <c r="AS42" t="s">
        <v>263</v>
      </c>
      <c r="AT42">
        <v>0.313</v>
      </c>
      <c r="AU42" t="s">
        <v>264</v>
      </c>
      <c r="AW42">
        <v>1.1395099863875699E-4</v>
      </c>
      <c r="AX42" t="s">
        <v>204</v>
      </c>
      <c r="AY42" t="s">
        <v>265</v>
      </c>
      <c r="AZ42" t="s">
        <v>148</v>
      </c>
      <c r="BA42" t="s">
        <v>173</v>
      </c>
      <c r="BC42">
        <v>1</v>
      </c>
      <c r="BD42">
        <v>1</v>
      </c>
      <c r="BE42">
        <v>24</v>
      </c>
      <c r="BF42" t="s">
        <v>156</v>
      </c>
      <c r="BG42">
        <v>24</v>
      </c>
      <c r="BI42">
        <v>1</v>
      </c>
      <c r="BJ42">
        <v>10</v>
      </c>
      <c r="BK42" t="s">
        <v>186</v>
      </c>
      <c r="BL42">
        <v>10</v>
      </c>
      <c r="BM42" t="s">
        <v>206</v>
      </c>
      <c r="BN42">
        <v>1</v>
      </c>
      <c r="BO42" t="s">
        <v>159</v>
      </c>
      <c r="BP42">
        <v>1</v>
      </c>
      <c r="BQ42" t="s">
        <v>243</v>
      </c>
      <c r="BR42">
        <v>1</v>
      </c>
      <c r="BS42" t="s">
        <v>266</v>
      </c>
      <c r="BT42">
        <v>0.211122685</v>
      </c>
      <c r="BV42">
        <v>1</v>
      </c>
      <c r="BW42">
        <v>1</v>
      </c>
      <c r="BX42" t="s">
        <v>181</v>
      </c>
      <c r="BZ42" t="s">
        <v>267</v>
      </c>
      <c r="CB42" t="s">
        <v>140</v>
      </c>
      <c r="CF42" t="s">
        <v>163</v>
      </c>
      <c r="CG42">
        <v>0</v>
      </c>
      <c r="CH42">
        <v>0</v>
      </c>
      <c r="CI42">
        <v>0</v>
      </c>
      <c r="CJ42">
        <v>1</v>
      </c>
      <c r="CK42">
        <v>1</v>
      </c>
      <c r="CL42">
        <v>1</v>
      </c>
      <c r="CM42">
        <v>0</v>
      </c>
      <c r="CN42" t="s">
        <v>164</v>
      </c>
      <c r="CP42">
        <v>0</v>
      </c>
      <c r="CQ42">
        <v>0</v>
      </c>
      <c r="CS42">
        <v>5</v>
      </c>
      <c r="CT42">
        <v>10</v>
      </c>
      <c r="CU42">
        <v>6</v>
      </c>
      <c r="CV42">
        <v>1</v>
      </c>
      <c r="CW42">
        <v>10</v>
      </c>
      <c r="CX42">
        <v>5</v>
      </c>
      <c r="CY42">
        <v>3</v>
      </c>
      <c r="CZ42">
        <v>5</v>
      </c>
      <c r="DA42">
        <v>5</v>
      </c>
      <c r="DB42">
        <v>5</v>
      </c>
      <c r="DC42">
        <v>5</v>
      </c>
      <c r="DD42">
        <v>5</v>
      </c>
      <c r="DE42">
        <v>5</v>
      </c>
      <c r="DF42">
        <v>5</v>
      </c>
      <c r="DG42">
        <v>5</v>
      </c>
      <c r="DH42">
        <v>2</v>
      </c>
      <c r="DI42">
        <v>5</v>
      </c>
      <c r="DJ42">
        <v>0</v>
      </c>
      <c r="DK42">
        <v>0</v>
      </c>
      <c r="DL42">
        <v>0</v>
      </c>
      <c r="DM42">
        <v>3</v>
      </c>
      <c r="DN42">
        <v>0</v>
      </c>
      <c r="DO42">
        <v>0</v>
      </c>
      <c r="DP42">
        <v>0</v>
      </c>
      <c r="DQ42">
        <v>5</v>
      </c>
      <c r="DR42">
        <v>2</v>
      </c>
      <c r="DS42">
        <v>10</v>
      </c>
      <c r="DT42">
        <v>0</v>
      </c>
      <c r="DU42">
        <v>5</v>
      </c>
      <c r="DV42">
        <v>0</v>
      </c>
      <c r="DW42">
        <v>181</v>
      </c>
      <c r="DX42">
        <v>112</v>
      </c>
      <c r="DY42">
        <v>0.61878454685211204</v>
      </c>
      <c r="DZ42" t="s">
        <v>144</v>
      </c>
      <c r="EA42">
        <v>24333</v>
      </c>
      <c r="EB42" t="s">
        <v>268</v>
      </c>
      <c r="EC42" t="s">
        <v>210</v>
      </c>
    </row>
    <row r="43" spans="1:133" hidden="1" x14ac:dyDescent="0.25">
      <c r="A43">
        <v>31</v>
      </c>
      <c r="B43">
        <v>24341</v>
      </c>
      <c r="C43" t="s">
        <v>255</v>
      </c>
      <c r="D43" t="s">
        <v>243</v>
      </c>
      <c r="E43" t="s">
        <v>173</v>
      </c>
      <c r="F43" t="s">
        <v>274</v>
      </c>
      <c r="G43" s="1">
        <v>1.274E-3</v>
      </c>
      <c r="H43" t="s">
        <v>273</v>
      </c>
      <c r="I43" t="s">
        <v>256</v>
      </c>
      <c r="L43">
        <v>25422127</v>
      </c>
      <c r="N43" t="s">
        <v>257</v>
      </c>
      <c r="O43">
        <v>2015</v>
      </c>
      <c r="P43" t="s">
        <v>197</v>
      </c>
      <c r="Q43">
        <v>2755</v>
      </c>
      <c r="R43">
        <v>50379</v>
      </c>
      <c r="T43">
        <v>364.06201171875</v>
      </c>
      <c r="U43" t="s">
        <v>140</v>
      </c>
      <c r="W43" t="s">
        <v>258</v>
      </c>
      <c r="X43">
        <v>364.06201171875</v>
      </c>
      <c r="Y43" t="s">
        <v>179</v>
      </c>
      <c r="Z43">
        <v>9</v>
      </c>
      <c r="AA43" t="s">
        <v>144</v>
      </c>
      <c r="AB43">
        <v>5</v>
      </c>
      <c r="AC43" t="s">
        <v>145</v>
      </c>
      <c r="AF43" t="s">
        <v>140</v>
      </c>
      <c r="AG43" t="s">
        <v>259</v>
      </c>
      <c r="AH43" t="s">
        <v>140</v>
      </c>
      <c r="AI43" t="s">
        <v>260</v>
      </c>
      <c r="AJ43" t="s">
        <v>201</v>
      </c>
      <c r="AK43" t="s">
        <v>140</v>
      </c>
      <c r="AL43" t="s">
        <v>170</v>
      </c>
      <c r="AM43" t="s">
        <v>140</v>
      </c>
      <c r="AP43" t="s">
        <v>261</v>
      </c>
      <c r="AQ43" t="s">
        <v>262</v>
      </c>
      <c r="AR43">
        <v>2.5000000372528999E-2</v>
      </c>
      <c r="AS43" t="s">
        <v>263</v>
      </c>
      <c r="AT43">
        <v>3.13</v>
      </c>
      <c r="AU43" t="s">
        <v>264</v>
      </c>
      <c r="AW43">
        <v>1.1395140318200001E-3</v>
      </c>
      <c r="AX43" t="s">
        <v>204</v>
      </c>
      <c r="AY43" t="s">
        <v>265</v>
      </c>
      <c r="AZ43" t="s">
        <v>148</v>
      </c>
      <c r="BA43" t="s">
        <v>173</v>
      </c>
      <c r="BC43">
        <v>1</v>
      </c>
      <c r="BD43">
        <v>1</v>
      </c>
      <c r="BE43">
        <v>24</v>
      </c>
      <c r="BF43" t="s">
        <v>156</v>
      </c>
      <c r="BG43">
        <v>24</v>
      </c>
      <c r="BI43">
        <v>1</v>
      </c>
      <c r="BJ43">
        <v>10</v>
      </c>
      <c r="BK43" t="s">
        <v>186</v>
      </c>
      <c r="BL43">
        <v>10</v>
      </c>
      <c r="BM43" t="s">
        <v>206</v>
      </c>
      <c r="BN43">
        <v>1</v>
      </c>
      <c r="BO43" t="s">
        <v>159</v>
      </c>
      <c r="BP43">
        <v>1</v>
      </c>
      <c r="BQ43" t="s">
        <v>243</v>
      </c>
      <c r="BR43">
        <v>1</v>
      </c>
      <c r="BS43" t="s">
        <v>266</v>
      </c>
      <c r="BT43">
        <v>0.211122685</v>
      </c>
      <c r="BV43">
        <v>1</v>
      </c>
      <c r="BW43">
        <v>1</v>
      </c>
      <c r="BX43" t="s">
        <v>181</v>
      </c>
      <c r="BZ43" t="s">
        <v>267</v>
      </c>
      <c r="CB43" t="s">
        <v>140</v>
      </c>
      <c r="CF43" t="s">
        <v>163</v>
      </c>
      <c r="CG43">
        <v>0</v>
      </c>
      <c r="CH43">
        <v>0</v>
      </c>
      <c r="CI43">
        <v>0</v>
      </c>
      <c r="CJ43">
        <v>1</v>
      </c>
      <c r="CK43">
        <v>1</v>
      </c>
      <c r="CL43">
        <v>1</v>
      </c>
      <c r="CM43">
        <v>0</v>
      </c>
      <c r="CN43" t="s">
        <v>164</v>
      </c>
      <c r="CP43">
        <v>0</v>
      </c>
      <c r="CQ43">
        <v>0</v>
      </c>
      <c r="CS43">
        <v>5</v>
      </c>
      <c r="CT43">
        <v>10</v>
      </c>
      <c r="CU43">
        <v>6</v>
      </c>
      <c r="CV43">
        <v>1</v>
      </c>
      <c r="CW43">
        <v>10</v>
      </c>
      <c r="CX43">
        <v>5</v>
      </c>
      <c r="CY43">
        <v>3</v>
      </c>
      <c r="CZ43">
        <v>5</v>
      </c>
      <c r="DA43">
        <v>5</v>
      </c>
      <c r="DB43">
        <v>5</v>
      </c>
      <c r="DC43">
        <v>5</v>
      </c>
      <c r="DD43">
        <v>5</v>
      </c>
      <c r="DE43">
        <v>5</v>
      </c>
      <c r="DF43">
        <v>5</v>
      </c>
      <c r="DG43">
        <v>5</v>
      </c>
      <c r="DH43">
        <v>2</v>
      </c>
      <c r="DI43">
        <v>5</v>
      </c>
      <c r="DJ43">
        <v>0</v>
      </c>
      <c r="DK43">
        <v>0</v>
      </c>
      <c r="DL43">
        <v>0</v>
      </c>
      <c r="DM43">
        <v>3</v>
      </c>
      <c r="DN43">
        <v>0</v>
      </c>
      <c r="DO43">
        <v>0</v>
      </c>
      <c r="DP43">
        <v>0</v>
      </c>
      <c r="DQ43">
        <v>5</v>
      </c>
      <c r="DR43">
        <v>2</v>
      </c>
      <c r="DS43">
        <v>10</v>
      </c>
      <c r="DT43">
        <v>0</v>
      </c>
      <c r="DU43">
        <v>5</v>
      </c>
      <c r="DV43">
        <v>0</v>
      </c>
      <c r="DW43">
        <v>181</v>
      </c>
      <c r="DX43">
        <v>112</v>
      </c>
      <c r="DY43">
        <v>0.61878454685211204</v>
      </c>
      <c r="DZ43" t="s">
        <v>144</v>
      </c>
      <c r="EA43">
        <v>24341</v>
      </c>
      <c r="EB43" t="s">
        <v>269</v>
      </c>
      <c r="EC43" t="s">
        <v>210</v>
      </c>
    </row>
    <row r="44" spans="1:133" hidden="1" x14ac:dyDescent="0.25">
      <c r="A44">
        <v>37</v>
      </c>
      <c r="B44">
        <v>24349</v>
      </c>
      <c r="C44" t="s">
        <v>255</v>
      </c>
      <c r="D44" t="s">
        <v>243</v>
      </c>
      <c r="E44" t="s">
        <v>193</v>
      </c>
      <c r="F44" t="s">
        <v>274</v>
      </c>
      <c r="G44" s="1">
        <v>1.056E-2</v>
      </c>
      <c r="H44" t="s">
        <v>273</v>
      </c>
      <c r="I44" t="s">
        <v>256</v>
      </c>
      <c r="L44">
        <v>25422127</v>
      </c>
      <c r="N44" t="s">
        <v>257</v>
      </c>
      <c r="O44">
        <v>2015</v>
      </c>
      <c r="P44" t="s">
        <v>197</v>
      </c>
      <c r="Q44">
        <v>2763</v>
      </c>
      <c r="R44">
        <v>50387</v>
      </c>
      <c r="T44">
        <v>364.06201171875</v>
      </c>
      <c r="U44" t="s">
        <v>140</v>
      </c>
      <c r="W44" t="s">
        <v>258</v>
      </c>
      <c r="X44">
        <v>364.06201171875</v>
      </c>
      <c r="Y44" t="s">
        <v>179</v>
      </c>
      <c r="Z44">
        <v>9</v>
      </c>
      <c r="AA44" t="s">
        <v>144</v>
      </c>
      <c r="AB44">
        <v>5</v>
      </c>
      <c r="AC44" t="s">
        <v>145</v>
      </c>
      <c r="AF44" t="s">
        <v>140</v>
      </c>
      <c r="AG44" t="s">
        <v>259</v>
      </c>
      <c r="AH44" t="s">
        <v>140</v>
      </c>
      <c r="AI44" t="s">
        <v>260</v>
      </c>
      <c r="AJ44" t="s">
        <v>201</v>
      </c>
      <c r="AK44" t="s">
        <v>140</v>
      </c>
      <c r="AL44" t="s">
        <v>149</v>
      </c>
      <c r="AM44" t="s">
        <v>140</v>
      </c>
      <c r="AP44" t="s">
        <v>261</v>
      </c>
      <c r="AQ44" t="s">
        <v>262</v>
      </c>
      <c r="AR44">
        <v>2.5000000372528999E-2</v>
      </c>
      <c r="AS44" t="s">
        <v>263</v>
      </c>
      <c r="AT44">
        <v>3.13</v>
      </c>
      <c r="AU44" t="s">
        <v>264</v>
      </c>
      <c r="AW44">
        <v>1.1395140318200001E-3</v>
      </c>
      <c r="AX44" t="s">
        <v>204</v>
      </c>
      <c r="AY44" t="s">
        <v>265</v>
      </c>
      <c r="AZ44" t="s">
        <v>148</v>
      </c>
      <c r="BA44" t="s">
        <v>193</v>
      </c>
      <c r="BC44">
        <v>1</v>
      </c>
      <c r="BD44">
        <v>0</v>
      </c>
      <c r="BE44">
        <v>24</v>
      </c>
      <c r="BF44" t="s">
        <v>156</v>
      </c>
      <c r="BG44">
        <v>24</v>
      </c>
      <c r="BI44">
        <v>1</v>
      </c>
      <c r="BJ44">
        <v>10</v>
      </c>
      <c r="BK44" t="s">
        <v>186</v>
      </c>
      <c r="BL44">
        <v>10</v>
      </c>
      <c r="BM44" t="s">
        <v>206</v>
      </c>
      <c r="BN44">
        <v>1</v>
      </c>
      <c r="BO44" t="s">
        <v>159</v>
      </c>
      <c r="BP44">
        <v>1</v>
      </c>
      <c r="BQ44" t="s">
        <v>243</v>
      </c>
      <c r="BR44">
        <v>1</v>
      </c>
      <c r="BS44" t="s">
        <v>266</v>
      </c>
      <c r="BT44">
        <v>0.211122685</v>
      </c>
      <c r="BV44">
        <v>1</v>
      </c>
      <c r="BW44">
        <v>1</v>
      </c>
      <c r="BX44" t="s">
        <v>181</v>
      </c>
      <c r="BZ44" t="s">
        <v>267</v>
      </c>
      <c r="CB44" t="s">
        <v>140</v>
      </c>
      <c r="CF44" t="s">
        <v>163</v>
      </c>
      <c r="CG44">
        <v>1</v>
      </c>
      <c r="CH44">
        <v>0</v>
      </c>
      <c r="CI44">
        <v>0</v>
      </c>
      <c r="CJ44">
        <v>1</v>
      </c>
      <c r="CK44">
        <v>1</v>
      </c>
      <c r="CL44">
        <v>0</v>
      </c>
      <c r="CM44">
        <v>0</v>
      </c>
      <c r="CN44" t="s">
        <v>164</v>
      </c>
      <c r="CP44">
        <v>0</v>
      </c>
      <c r="CQ44">
        <v>0</v>
      </c>
      <c r="CS44">
        <v>5</v>
      </c>
      <c r="CT44">
        <v>10</v>
      </c>
      <c r="CU44">
        <v>6</v>
      </c>
      <c r="CV44">
        <v>1</v>
      </c>
      <c r="CW44">
        <v>10</v>
      </c>
      <c r="CX44">
        <v>5</v>
      </c>
      <c r="CY44">
        <v>3</v>
      </c>
      <c r="CZ44">
        <v>5</v>
      </c>
      <c r="DA44">
        <v>5</v>
      </c>
      <c r="DB44">
        <v>5</v>
      </c>
      <c r="DC44">
        <v>5</v>
      </c>
      <c r="DD44">
        <v>5</v>
      </c>
      <c r="DE44">
        <v>5</v>
      </c>
      <c r="DF44">
        <v>5</v>
      </c>
      <c r="DG44">
        <v>5</v>
      </c>
      <c r="DH44">
        <v>2</v>
      </c>
      <c r="DI44">
        <v>5</v>
      </c>
      <c r="DJ44">
        <v>0</v>
      </c>
      <c r="DK44">
        <v>0</v>
      </c>
      <c r="DL44">
        <v>0</v>
      </c>
      <c r="DM44">
        <v>3</v>
      </c>
      <c r="DN44">
        <v>5</v>
      </c>
      <c r="DO44">
        <v>0</v>
      </c>
      <c r="DP44">
        <v>0</v>
      </c>
      <c r="DQ44">
        <v>5</v>
      </c>
      <c r="DR44">
        <v>2</v>
      </c>
      <c r="DS44">
        <v>0</v>
      </c>
      <c r="DT44">
        <v>0</v>
      </c>
      <c r="DU44">
        <v>5</v>
      </c>
      <c r="DV44">
        <v>0</v>
      </c>
      <c r="DW44">
        <v>196</v>
      </c>
      <c r="DX44">
        <v>107</v>
      </c>
      <c r="DY44">
        <v>0.54591834545135498</v>
      </c>
      <c r="DZ44" t="s">
        <v>144</v>
      </c>
      <c r="EA44">
        <v>24349</v>
      </c>
      <c r="EB44" t="s">
        <v>270</v>
      </c>
      <c r="EC44" t="s">
        <v>210</v>
      </c>
    </row>
    <row r="45" spans="1:133" hidden="1" x14ac:dyDescent="0.25">
      <c r="A45">
        <v>44</v>
      </c>
      <c r="B45">
        <v>24357</v>
      </c>
      <c r="C45" t="s">
        <v>255</v>
      </c>
      <c r="D45" t="s">
        <v>243</v>
      </c>
      <c r="E45" t="s">
        <v>193</v>
      </c>
      <c r="F45" t="s">
        <v>274</v>
      </c>
      <c r="G45" s="1">
        <v>1.383E-2</v>
      </c>
      <c r="H45" t="s">
        <v>273</v>
      </c>
      <c r="I45" t="s">
        <v>256</v>
      </c>
      <c r="L45">
        <v>25422127</v>
      </c>
      <c r="N45" t="s">
        <v>257</v>
      </c>
      <c r="O45">
        <v>2015</v>
      </c>
      <c r="P45" t="s">
        <v>197</v>
      </c>
      <c r="Q45">
        <v>2771</v>
      </c>
      <c r="R45">
        <v>50395</v>
      </c>
      <c r="T45">
        <v>364.06201171875</v>
      </c>
      <c r="U45" t="s">
        <v>140</v>
      </c>
      <c r="W45" t="s">
        <v>258</v>
      </c>
      <c r="X45">
        <v>364.06201171875</v>
      </c>
      <c r="Y45" t="s">
        <v>179</v>
      </c>
      <c r="Z45">
        <v>9</v>
      </c>
      <c r="AA45" t="s">
        <v>144</v>
      </c>
      <c r="AB45">
        <v>5</v>
      </c>
      <c r="AC45" t="s">
        <v>145</v>
      </c>
      <c r="AF45" t="s">
        <v>140</v>
      </c>
      <c r="AG45" t="s">
        <v>259</v>
      </c>
      <c r="AH45" t="s">
        <v>140</v>
      </c>
      <c r="AI45" t="s">
        <v>260</v>
      </c>
      <c r="AJ45" t="s">
        <v>201</v>
      </c>
      <c r="AK45" t="s">
        <v>140</v>
      </c>
      <c r="AL45" t="s">
        <v>170</v>
      </c>
      <c r="AM45" t="s">
        <v>140</v>
      </c>
      <c r="AP45" t="s">
        <v>261</v>
      </c>
      <c r="AQ45" t="s">
        <v>262</v>
      </c>
      <c r="AR45">
        <v>2.5000000372528999E-2</v>
      </c>
      <c r="AS45" t="s">
        <v>263</v>
      </c>
      <c r="AT45">
        <v>3.13</v>
      </c>
      <c r="AU45" t="s">
        <v>264</v>
      </c>
      <c r="AW45">
        <v>1.1395140318200001E-3</v>
      </c>
      <c r="AX45" t="s">
        <v>204</v>
      </c>
      <c r="AY45" t="s">
        <v>265</v>
      </c>
      <c r="AZ45" t="s">
        <v>148</v>
      </c>
      <c r="BA45" t="s">
        <v>193</v>
      </c>
      <c r="BC45">
        <v>1</v>
      </c>
      <c r="BD45">
        <v>0</v>
      </c>
      <c r="BE45">
        <v>24</v>
      </c>
      <c r="BF45" t="s">
        <v>156</v>
      </c>
      <c r="BG45">
        <v>24</v>
      </c>
      <c r="BI45">
        <v>1</v>
      </c>
      <c r="BJ45">
        <v>10</v>
      </c>
      <c r="BK45" t="s">
        <v>186</v>
      </c>
      <c r="BL45">
        <v>10</v>
      </c>
      <c r="BM45" t="s">
        <v>206</v>
      </c>
      <c r="BN45">
        <v>1</v>
      </c>
      <c r="BO45" t="s">
        <v>159</v>
      </c>
      <c r="BP45">
        <v>1</v>
      </c>
      <c r="BQ45" t="s">
        <v>243</v>
      </c>
      <c r="BR45">
        <v>1</v>
      </c>
      <c r="BS45" t="s">
        <v>266</v>
      </c>
      <c r="BT45">
        <v>0.211122685</v>
      </c>
      <c r="BV45">
        <v>1</v>
      </c>
      <c r="BW45">
        <v>1</v>
      </c>
      <c r="BX45" t="s">
        <v>181</v>
      </c>
      <c r="BZ45" t="s">
        <v>267</v>
      </c>
      <c r="CB45" t="s">
        <v>140</v>
      </c>
      <c r="CF45" t="s">
        <v>163</v>
      </c>
      <c r="CG45">
        <v>1</v>
      </c>
      <c r="CH45">
        <v>0</v>
      </c>
      <c r="CI45">
        <v>0</v>
      </c>
      <c r="CJ45">
        <v>1</v>
      </c>
      <c r="CK45">
        <v>1</v>
      </c>
      <c r="CL45">
        <v>0</v>
      </c>
      <c r="CM45">
        <v>0</v>
      </c>
      <c r="CN45" t="s">
        <v>164</v>
      </c>
      <c r="CP45">
        <v>0</v>
      </c>
      <c r="CQ45">
        <v>0</v>
      </c>
      <c r="CS45">
        <v>5</v>
      </c>
      <c r="CT45">
        <v>10</v>
      </c>
      <c r="CU45">
        <v>6</v>
      </c>
      <c r="CV45">
        <v>1</v>
      </c>
      <c r="CW45">
        <v>10</v>
      </c>
      <c r="CX45">
        <v>5</v>
      </c>
      <c r="CY45">
        <v>3</v>
      </c>
      <c r="CZ45">
        <v>5</v>
      </c>
      <c r="DA45">
        <v>5</v>
      </c>
      <c r="DB45">
        <v>5</v>
      </c>
      <c r="DC45">
        <v>5</v>
      </c>
      <c r="DD45">
        <v>5</v>
      </c>
      <c r="DE45">
        <v>5</v>
      </c>
      <c r="DF45">
        <v>5</v>
      </c>
      <c r="DG45">
        <v>5</v>
      </c>
      <c r="DH45">
        <v>2</v>
      </c>
      <c r="DI45">
        <v>5</v>
      </c>
      <c r="DJ45">
        <v>0</v>
      </c>
      <c r="DK45">
        <v>0</v>
      </c>
      <c r="DL45">
        <v>0</v>
      </c>
      <c r="DM45">
        <v>3</v>
      </c>
      <c r="DN45">
        <v>5</v>
      </c>
      <c r="DO45">
        <v>0</v>
      </c>
      <c r="DP45">
        <v>0</v>
      </c>
      <c r="DQ45">
        <v>5</v>
      </c>
      <c r="DR45">
        <v>2</v>
      </c>
      <c r="DS45">
        <v>0</v>
      </c>
      <c r="DT45">
        <v>0</v>
      </c>
      <c r="DU45">
        <v>5</v>
      </c>
      <c r="DV45">
        <v>0</v>
      </c>
      <c r="DW45">
        <v>196</v>
      </c>
      <c r="DX45">
        <v>107</v>
      </c>
      <c r="DY45">
        <v>0.54591834545135498</v>
      </c>
      <c r="DZ45" t="s">
        <v>144</v>
      </c>
      <c r="EA45">
        <v>24357</v>
      </c>
      <c r="EB45" t="s">
        <v>271</v>
      </c>
      <c r="EC45" t="s">
        <v>210</v>
      </c>
    </row>
    <row r="46" spans="1:133" hidden="1" x14ac:dyDescent="0.25">
      <c r="A46">
        <v>25</v>
      </c>
      <c r="B46">
        <v>24333</v>
      </c>
      <c r="C46" t="s">
        <v>255</v>
      </c>
      <c r="D46" t="s">
        <v>243</v>
      </c>
      <c r="E46" t="s">
        <v>173</v>
      </c>
      <c r="F46" t="s">
        <v>170</v>
      </c>
      <c r="G46" s="2">
        <v>100</v>
      </c>
      <c r="H46" t="s">
        <v>275</v>
      </c>
      <c r="I46" t="s">
        <v>276</v>
      </c>
      <c r="L46">
        <v>25422127</v>
      </c>
      <c r="N46" t="s">
        <v>257</v>
      </c>
      <c r="O46">
        <v>2015</v>
      </c>
      <c r="P46" t="s">
        <v>197</v>
      </c>
      <c r="Q46">
        <v>2747</v>
      </c>
      <c r="R46">
        <v>50371</v>
      </c>
      <c r="T46">
        <v>364.06201171875</v>
      </c>
      <c r="U46" t="s">
        <v>140</v>
      </c>
      <c r="W46" t="s">
        <v>258</v>
      </c>
      <c r="X46">
        <v>364.06201171875</v>
      </c>
      <c r="Y46" t="s">
        <v>179</v>
      </c>
      <c r="Z46">
        <v>9</v>
      </c>
      <c r="AA46" t="s">
        <v>144</v>
      </c>
      <c r="AB46">
        <v>6</v>
      </c>
      <c r="AC46" t="s">
        <v>145</v>
      </c>
      <c r="AF46" t="s">
        <v>140</v>
      </c>
      <c r="AG46" t="s">
        <v>259</v>
      </c>
      <c r="AH46" t="s">
        <v>140</v>
      </c>
      <c r="AI46" t="s">
        <v>260</v>
      </c>
      <c r="AJ46" t="s">
        <v>201</v>
      </c>
      <c r="AK46" t="s">
        <v>140</v>
      </c>
      <c r="AL46" t="s">
        <v>149</v>
      </c>
      <c r="AM46" t="s">
        <v>140</v>
      </c>
      <c r="AP46" t="s">
        <v>261</v>
      </c>
      <c r="AQ46" t="s">
        <v>262</v>
      </c>
      <c r="AR46">
        <v>2.5000000372528999E-2</v>
      </c>
      <c r="AS46" t="s">
        <v>263</v>
      </c>
      <c r="AT46">
        <v>0.313</v>
      </c>
      <c r="AU46" t="s">
        <v>264</v>
      </c>
      <c r="AW46">
        <v>1.1395099863875699E-4</v>
      </c>
      <c r="AX46" t="s">
        <v>204</v>
      </c>
      <c r="AY46" t="s">
        <v>265</v>
      </c>
      <c r="AZ46" t="s">
        <v>148</v>
      </c>
      <c r="BA46" t="s">
        <v>173</v>
      </c>
      <c r="BC46">
        <v>1</v>
      </c>
      <c r="BD46">
        <v>1</v>
      </c>
      <c r="BE46">
        <v>24</v>
      </c>
      <c r="BF46" t="s">
        <v>156</v>
      </c>
      <c r="BG46">
        <v>24</v>
      </c>
      <c r="BI46">
        <v>1</v>
      </c>
      <c r="BJ46">
        <v>10</v>
      </c>
      <c r="BK46" t="s">
        <v>186</v>
      </c>
      <c r="BL46">
        <v>10</v>
      </c>
      <c r="BM46" t="s">
        <v>206</v>
      </c>
      <c r="BN46">
        <v>1</v>
      </c>
      <c r="BO46" t="s">
        <v>159</v>
      </c>
      <c r="BP46">
        <v>1</v>
      </c>
      <c r="BQ46" t="s">
        <v>243</v>
      </c>
      <c r="BR46">
        <v>1</v>
      </c>
      <c r="BS46" t="s">
        <v>266</v>
      </c>
      <c r="BT46">
        <v>0.211122685</v>
      </c>
      <c r="BV46">
        <v>1</v>
      </c>
      <c r="BW46">
        <v>1</v>
      </c>
      <c r="BX46" t="s">
        <v>181</v>
      </c>
      <c r="BZ46" t="s">
        <v>267</v>
      </c>
      <c r="CB46" t="s">
        <v>140</v>
      </c>
      <c r="CF46" t="s">
        <v>163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0</v>
      </c>
      <c r="CN46" t="s">
        <v>164</v>
      </c>
      <c r="CP46">
        <v>0</v>
      </c>
      <c r="CQ46">
        <v>0</v>
      </c>
      <c r="CS46">
        <v>5</v>
      </c>
      <c r="CT46">
        <v>10</v>
      </c>
      <c r="CU46">
        <v>6</v>
      </c>
      <c r="CV46">
        <v>1</v>
      </c>
      <c r="CW46">
        <v>10</v>
      </c>
      <c r="CX46">
        <v>5</v>
      </c>
      <c r="CY46">
        <v>3</v>
      </c>
      <c r="CZ46">
        <v>5</v>
      </c>
      <c r="DA46">
        <v>5</v>
      </c>
      <c r="DB46">
        <v>5</v>
      </c>
      <c r="DC46">
        <v>5</v>
      </c>
      <c r="DD46">
        <v>5</v>
      </c>
      <c r="DE46">
        <v>5</v>
      </c>
      <c r="DF46">
        <v>5</v>
      </c>
      <c r="DG46">
        <v>5</v>
      </c>
      <c r="DH46">
        <v>2</v>
      </c>
      <c r="DI46">
        <v>5</v>
      </c>
      <c r="DJ46">
        <v>0</v>
      </c>
      <c r="DK46">
        <v>0</v>
      </c>
      <c r="DL46">
        <v>0</v>
      </c>
      <c r="DM46">
        <v>3</v>
      </c>
      <c r="DN46">
        <v>0</v>
      </c>
      <c r="DO46">
        <v>0</v>
      </c>
      <c r="DP46">
        <v>0</v>
      </c>
      <c r="DQ46">
        <v>5</v>
      </c>
      <c r="DR46">
        <v>2</v>
      </c>
      <c r="DS46">
        <v>10</v>
      </c>
      <c r="DT46">
        <v>0</v>
      </c>
      <c r="DU46">
        <v>5</v>
      </c>
      <c r="DV46">
        <v>0</v>
      </c>
      <c r="DW46">
        <v>181</v>
      </c>
      <c r="DX46">
        <v>112</v>
      </c>
      <c r="DY46">
        <v>0.61878454685211204</v>
      </c>
      <c r="DZ46" t="s">
        <v>144</v>
      </c>
      <c r="EA46">
        <v>24333</v>
      </c>
      <c r="EB46" t="s">
        <v>268</v>
      </c>
      <c r="EC46" t="s">
        <v>210</v>
      </c>
    </row>
    <row r="47" spans="1:133" hidden="1" x14ac:dyDescent="0.25">
      <c r="A47">
        <v>30</v>
      </c>
      <c r="B47">
        <v>24341</v>
      </c>
      <c r="C47" t="s">
        <v>255</v>
      </c>
      <c r="D47" t="s">
        <v>243</v>
      </c>
      <c r="E47" t="s">
        <v>173</v>
      </c>
      <c r="F47" t="s">
        <v>170</v>
      </c>
      <c r="G47" s="2">
        <v>100</v>
      </c>
      <c r="H47" t="s">
        <v>275</v>
      </c>
      <c r="I47" t="s">
        <v>276</v>
      </c>
      <c r="L47">
        <v>25422127</v>
      </c>
      <c r="N47" t="s">
        <v>257</v>
      </c>
      <c r="O47">
        <v>2015</v>
      </c>
      <c r="P47" t="s">
        <v>197</v>
      </c>
      <c r="Q47">
        <v>2755</v>
      </c>
      <c r="R47">
        <v>50379</v>
      </c>
      <c r="T47">
        <v>364.06201171875</v>
      </c>
      <c r="U47" t="s">
        <v>140</v>
      </c>
      <c r="W47" t="s">
        <v>258</v>
      </c>
      <c r="X47">
        <v>364.06201171875</v>
      </c>
      <c r="Y47" t="s">
        <v>179</v>
      </c>
      <c r="Z47">
        <v>9</v>
      </c>
      <c r="AA47" t="s">
        <v>144</v>
      </c>
      <c r="AB47">
        <v>5</v>
      </c>
      <c r="AC47" t="s">
        <v>145</v>
      </c>
      <c r="AF47" t="s">
        <v>140</v>
      </c>
      <c r="AG47" t="s">
        <v>259</v>
      </c>
      <c r="AH47" t="s">
        <v>140</v>
      </c>
      <c r="AI47" t="s">
        <v>260</v>
      </c>
      <c r="AJ47" t="s">
        <v>201</v>
      </c>
      <c r="AK47" t="s">
        <v>140</v>
      </c>
      <c r="AL47" t="s">
        <v>170</v>
      </c>
      <c r="AM47" t="s">
        <v>140</v>
      </c>
      <c r="AP47" t="s">
        <v>261</v>
      </c>
      <c r="AQ47" t="s">
        <v>262</v>
      </c>
      <c r="AR47">
        <v>2.5000000372528999E-2</v>
      </c>
      <c r="AS47" t="s">
        <v>263</v>
      </c>
      <c r="AT47">
        <v>3.13</v>
      </c>
      <c r="AU47" t="s">
        <v>264</v>
      </c>
      <c r="AW47">
        <v>1.1395140318200001E-3</v>
      </c>
      <c r="AX47" t="s">
        <v>204</v>
      </c>
      <c r="AY47" t="s">
        <v>265</v>
      </c>
      <c r="AZ47" t="s">
        <v>148</v>
      </c>
      <c r="BA47" t="s">
        <v>173</v>
      </c>
      <c r="BC47">
        <v>1</v>
      </c>
      <c r="BD47">
        <v>1</v>
      </c>
      <c r="BE47">
        <v>24</v>
      </c>
      <c r="BF47" t="s">
        <v>156</v>
      </c>
      <c r="BG47">
        <v>24</v>
      </c>
      <c r="BI47">
        <v>1</v>
      </c>
      <c r="BJ47">
        <v>10</v>
      </c>
      <c r="BK47" t="s">
        <v>186</v>
      </c>
      <c r="BL47">
        <v>10</v>
      </c>
      <c r="BM47" t="s">
        <v>206</v>
      </c>
      <c r="BN47">
        <v>1</v>
      </c>
      <c r="BO47" t="s">
        <v>159</v>
      </c>
      <c r="BP47">
        <v>1</v>
      </c>
      <c r="BQ47" t="s">
        <v>243</v>
      </c>
      <c r="BR47">
        <v>1</v>
      </c>
      <c r="BS47" t="s">
        <v>266</v>
      </c>
      <c r="BT47">
        <v>0.211122685</v>
      </c>
      <c r="BV47">
        <v>1</v>
      </c>
      <c r="BW47">
        <v>1</v>
      </c>
      <c r="BX47" t="s">
        <v>181</v>
      </c>
      <c r="BZ47" t="s">
        <v>267</v>
      </c>
      <c r="CB47" t="s">
        <v>140</v>
      </c>
      <c r="CF47" t="s">
        <v>163</v>
      </c>
      <c r="CG47">
        <v>0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0</v>
      </c>
      <c r="CN47" t="s">
        <v>164</v>
      </c>
      <c r="CP47">
        <v>0</v>
      </c>
      <c r="CQ47">
        <v>0</v>
      </c>
      <c r="CS47">
        <v>5</v>
      </c>
      <c r="CT47">
        <v>10</v>
      </c>
      <c r="CU47">
        <v>6</v>
      </c>
      <c r="CV47">
        <v>1</v>
      </c>
      <c r="CW47">
        <v>10</v>
      </c>
      <c r="CX47">
        <v>5</v>
      </c>
      <c r="CY47">
        <v>3</v>
      </c>
      <c r="CZ47">
        <v>5</v>
      </c>
      <c r="DA47">
        <v>5</v>
      </c>
      <c r="DB47">
        <v>5</v>
      </c>
      <c r="DC47">
        <v>5</v>
      </c>
      <c r="DD47">
        <v>5</v>
      </c>
      <c r="DE47">
        <v>5</v>
      </c>
      <c r="DF47">
        <v>5</v>
      </c>
      <c r="DG47">
        <v>5</v>
      </c>
      <c r="DH47">
        <v>2</v>
      </c>
      <c r="DI47">
        <v>5</v>
      </c>
      <c r="DJ47">
        <v>0</v>
      </c>
      <c r="DK47">
        <v>0</v>
      </c>
      <c r="DL47">
        <v>0</v>
      </c>
      <c r="DM47">
        <v>3</v>
      </c>
      <c r="DN47">
        <v>0</v>
      </c>
      <c r="DO47">
        <v>0</v>
      </c>
      <c r="DP47">
        <v>0</v>
      </c>
      <c r="DQ47">
        <v>5</v>
      </c>
      <c r="DR47">
        <v>2</v>
      </c>
      <c r="DS47">
        <v>10</v>
      </c>
      <c r="DT47">
        <v>0</v>
      </c>
      <c r="DU47">
        <v>5</v>
      </c>
      <c r="DV47">
        <v>0</v>
      </c>
      <c r="DW47">
        <v>181</v>
      </c>
      <c r="DX47">
        <v>112</v>
      </c>
      <c r="DY47">
        <v>0.61878454685211204</v>
      </c>
      <c r="DZ47" t="s">
        <v>144</v>
      </c>
      <c r="EA47">
        <v>24341</v>
      </c>
      <c r="EB47" t="s">
        <v>269</v>
      </c>
      <c r="EC47" t="s">
        <v>210</v>
      </c>
    </row>
    <row r="48" spans="1:133" hidden="1" x14ac:dyDescent="0.25">
      <c r="A48">
        <v>36</v>
      </c>
      <c r="B48">
        <v>24349</v>
      </c>
      <c r="C48" t="s">
        <v>255</v>
      </c>
      <c r="D48" t="s">
        <v>243</v>
      </c>
      <c r="E48" t="s">
        <v>193</v>
      </c>
      <c r="F48" t="s">
        <v>170</v>
      </c>
      <c r="G48" s="2">
        <v>60</v>
      </c>
      <c r="H48" t="s">
        <v>275</v>
      </c>
      <c r="I48" t="s">
        <v>140</v>
      </c>
      <c r="L48">
        <v>25422127</v>
      </c>
      <c r="N48" t="s">
        <v>257</v>
      </c>
      <c r="O48">
        <v>2015</v>
      </c>
      <c r="P48" t="s">
        <v>197</v>
      </c>
      <c r="Q48">
        <v>2763</v>
      </c>
      <c r="R48">
        <v>50387</v>
      </c>
      <c r="T48">
        <v>364.06201171875</v>
      </c>
      <c r="U48" t="s">
        <v>140</v>
      </c>
      <c r="W48" t="s">
        <v>258</v>
      </c>
      <c r="X48">
        <v>364.06201171875</v>
      </c>
      <c r="Y48" t="s">
        <v>179</v>
      </c>
      <c r="Z48">
        <v>9</v>
      </c>
      <c r="AA48" t="s">
        <v>144</v>
      </c>
      <c r="AB48">
        <v>5</v>
      </c>
      <c r="AC48" t="s">
        <v>145</v>
      </c>
      <c r="AF48" t="s">
        <v>140</v>
      </c>
      <c r="AG48" t="s">
        <v>259</v>
      </c>
      <c r="AH48" t="s">
        <v>140</v>
      </c>
      <c r="AI48" t="s">
        <v>260</v>
      </c>
      <c r="AJ48" t="s">
        <v>201</v>
      </c>
      <c r="AK48" t="s">
        <v>140</v>
      </c>
      <c r="AL48" t="s">
        <v>149</v>
      </c>
      <c r="AM48" t="s">
        <v>140</v>
      </c>
      <c r="AP48" t="s">
        <v>261</v>
      </c>
      <c r="AQ48" t="s">
        <v>262</v>
      </c>
      <c r="AR48">
        <v>2.5000000372528999E-2</v>
      </c>
      <c r="AS48" t="s">
        <v>263</v>
      </c>
      <c r="AT48">
        <v>3.13</v>
      </c>
      <c r="AU48" t="s">
        <v>264</v>
      </c>
      <c r="AW48">
        <v>1.1395140318200001E-3</v>
      </c>
      <c r="AX48" t="s">
        <v>204</v>
      </c>
      <c r="AY48" t="s">
        <v>265</v>
      </c>
      <c r="AZ48" t="s">
        <v>148</v>
      </c>
      <c r="BA48" t="s">
        <v>193</v>
      </c>
      <c r="BC48">
        <v>1</v>
      </c>
      <c r="BD48">
        <v>0</v>
      </c>
      <c r="BE48">
        <v>24</v>
      </c>
      <c r="BF48" t="s">
        <v>156</v>
      </c>
      <c r="BG48">
        <v>24</v>
      </c>
      <c r="BI48">
        <v>1</v>
      </c>
      <c r="BJ48">
        <v>10</v>
      </c>
      <c r="BK48" t="s">
        <v>186</v>
      </c>
      <c r="BL48">
        <v>10</v>
      </c>
      <c r="BM48" t="s">
        <v>206</v>
      </c>
      <c r="BN48">
        <v>1</v>
      </c>
      <c r="BO48" t="s">
        <v>159</v>
      </c>
      <c r="BP48">
        <v>1</v>
      </c>
      <c r="BQ48" t="s">
        <v>243</v>
      </c>
      <c r="BR48">
        <v>1</v>
      </c>
      <c r="BS48" t="s">
        <v>266</v>
      </c>
      <c r="BT48">
        <v>0.211122685</v>
      </c>
      <c r="BV48">
        <v>1</v>
      </c>
      <c r="BW48">
        <v>1</v>
      </c>
      <c r="BX48" t="s">
        <v>181</v>
      </c>
      <c r="BZ48" t="s">
        <v>267</v>
      </c>
      <c r="CB48" t="s">
        <v>140</v>
      </c>
      <c r="CF48" t="s">
        <v>163</v>
      </c>
      <c r="CG48">
        <v>1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0</v>
      </c>
      <c r="CN48" t="s">
        <v>164</v>
      </c>
      <c r="CP48">
        <v>0</v>
      </c>
      <c r="CQ48">
        <v>0</v>
      </c>
      <c r="CS48">
        <v>5</v>
      </c>
      <c r="CT48">
        <v>10</v>
      </c>
      <c r="CU48">
        <v>6</v>
      </c>
      <c r="CV48">
        <v>1</v>
      </c>
      <c r="CW48">
        <v>10</v>
      </c>
      <c r="CX48">
        <v>5</v>
      </c>
      <c r="CY48">
        <v>3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2</v>
      </c>
      <c r="DI48">
        <v>5</v>
      </c>
      <c r="DJ48">
        <v>0</v>
      </c>
      <c r="DK48">
        <v>0</v>
      </c>
      <c r="DL48">
        <v>0</v>
      </c>
      <c r="DM48">
        <v>3</v>
      </c>
      <c r="DN48">
        <v>5</v>
      </c>
      <c r="DO48">
        <v>0</v>
      </c>
      <c r="DP48">
        <v>0</v>
      </c>
      <c r="DQ48">
        <v>5</v>
      </c>
      <c r="DR48">
        <v>2</v>
      </c>
      <c r="DS48">
        <v>0</v>
      </c>
      <c r="DT48">
        <v>0</v>
      </c>
      <c r="DU48">
        <v>5</v>
      </c>
      <c r="DV48">
        <v>0</v>
      </c>
      <c r="DW48">
        <v>196</v>
      </c>
      <c r="DX48">
        <v>107</v>
      </c>
      <c r="DY48">
        <v>0.54591834545135498</v>
      </c>
      <c r="DZ48" t="s">
        <v>144</v>
      </c>
      <c r="EA48">
        <v>24349</v>
      </c>
      <c r="EB48" t="s">
        <v>270</v>
      </c>
      <c r="EC48" t="s">
        <v>210</v>
      </c>
    </row>
    <row r="49" spans="1:133" hidden="1" x14ac:dyDescent="0.25">
      <c r="A49">
        <v>40</v>
      </c>
      <c r="B49">
        <v>24357</v>
      </c>
      <c r="C49" t="s">
        <v>255</v>
      </c>
      <c r="D49" t="s">
        <v>243</v>
      </c>
      <c r="E49" t="s">
        <v>193</v>
      </c>
      <c r="F49" t="s">
        <v>170</v>
      </c>
      <c r="G49" s="2">
        <v>90</v>
      </c>
      <c r="H49" t="s">
        <v>275</v>
      </c>
      <c r="I49" t="s">
        <v>140</v>
      </c>
      <c r="L49">
        <v>25422127</v>
      </c>
      <c r="N49" t="s">
        <v>257</v>
      </c>
      <c r="O49">
        <v>2015</v>
      </c>
      <c r="P49" t="s">
        <v>197</v>
      </c>
      <c r="Q49">
        <v>2771</v>
      </c>
      <c r="R49">
        <v>50395</v>
      </c>
      <c r="T49">
        <v>364.06201171875</v>
      </c>
      <c r="U49" t="s">
        <v>140</v>
      </c>
      <c r="W49" t="s">
        <v>258</v>
      </c>
      <c r="X49">
        <v>364.06201171875</v>
      </c>
      <c r="Y49" t="s">
        <v>179</v>
      </c>
      <c r="Z49">
        <v>9</v>
      </c>
      <c r="AA49" t="s">
        <v>144</v>
      </c>
      <c r="AB49">
        <v>5</v>
      </c>
      <c r="AC49" t="s">
        <v>145</v>
      </c>
      <c r="AF49" t="s">
        <v>140</v>
      </c>
      <c r="AG49" t="s">
        <v>259</v>
      </c>
      <c r="AH49" t="s">
        <v>140</v>
      </c>
      <c r="AI49" t="s">
        <v>260</v>
      </c>
      <c r="AJ49" t="s">
        <v>201</v>
      </c>
      <c r="AK49" t="s">
        <v>140</v>
      </c>
      <c r="AL49" t="s">
        <v>170</v>
      </c>
      <c r="AM49" t="s">
        <v>140</v>
      </c>
      <c r="AP49" t="s">
        <v>261</v>
      </c>
      <c r="AQ49" t="s">
        <v>262</v>
      </c>
      <c r="AR49">
        <v>2.5000000372528999E-2</v>
      </c>
      <c r="AS49" t="s">
        <v>263</v>
      </c>
      <c r="AT49">
        <v>3.13</v>
      </c>
      <c r="AU49" t="s">
        <v>264</v>
      </c>
      <c r="AW49">
        <v>1.1395140318200001E-3</v>
      </c>
      <c r="AX49" t="s">
        <v>204</v>
      </c>
      <c r="AY49" t="s">
        <v>265</v>
      </c>
      <c r="AZ49" t="s">
        <v>148</v>
      </c>
      <c r="BA49" t="s">
        <v>193</v>
      </c>
      <c r="BC49">
        <v>1</v>
      </c>
      <c r="BD49">
        <v>0</v>
      </c>
      <c r="BE49">
        <v>24</v>
      </c>
      <c r="BF49" t="s">
        <v>156</v>
      </c>
      <c r="BG49">
        <v>24</v>
      </c>
      <c r="BI49">
        <v>1</v>
      </c>
      <c r="BJ49">
        <v>10</v>
      </c>
      <c r="BK49" t="s">
        <v>186</v>
      </c>
      <c r="BL49">
        <v>10</v>
      </c>
      <c r="BM49" t="s">
        <v>206</v>
      </c>
      <c r="BN49">
        <v>1</v>
      </c>
      <c r="BO49" t="s">
        <v>159</v>
      </c>
      <c r="BP49">
        <v>1</v>
      </c>
      <c r="BQ49" t="s">
        <v>243</v>
      </c>
      <c r="BR49">
        <v>1</v>
      </c>
      <c r="BS49" t="s">
        <v>266</v>
      </c>
      <c r="BT49">
        <v>0.211122685</v>
      </c>
      <c r="BV49">
        <v>1</v>
      </c>
      <c r="BW49">
        <v>1</v>
      </c>
      <c r="BX49" t="s">
        <v>181</v>
      </c>
      <c r="BZ49" t="s">
        <v>267</v>
      </c>
      <c r="CB49" t="s">
        <v>140</v>
      </c>
      <c r="CF49" t="s">
        <v>163</v>
      </c>
      <c r="CG49">
        <v>1</v>
      </c>
      <c r="CH49">
        <v>0</v>
      </c>
      <c r="CI49">
        <v>0</v>
      </c>
      <c r="CJ49">
        <v>1</v>
      </c>
      <c r="CK49">
        <v>1</v>
      </c>
      <c r="CL49">
        <v>0</v>
      </c>
      <c r="CM49">
        <v>0</v>
      </c>
      <c r="CN49" t="s">
        <v>164</v>
      </c>
      <c r="CP49">
        <v>0</v>
      </c>
      <c r="CQ49">
        <v>0</v>
      </c>
      <c r="CS49">
        <v>5</v>
      </c>
      <c r="CT49">
        <v>10</v>
      </c>
      <c r="CU49">
        <v>6</v>
      </c>
      <c r="CV49">
        <v>1</v>
      </c>
      <c r="CW49">
        <v>10</v>
      </c>
      <c r="CX49">
        <v>5</v>
      </c>
      <c r="CY49">
        <v>3</v>
      </c>
      <c r="CZ49">
        <v>5</v>
      </c>
      <c r="DA49">
        <v>5</v>
      </c>
      <c r="DB49">
        <v>5</v>
      </c>
      <c r="DC49">
        <v>5</v>
      </c>
      <c r="DD49">
        <v>5</v>
      </c>
      <c r="DE49">
        <v>5</v>
      </c>
      <c r="DF49">
        <v>5</v>
      </c>
      <c r="DG49">
        <v>5</v>
      </c>
      <c r="DH49">
        <v>2</v>
      </c>
      <c r="DI49">
        <v>5</v>
      </c>
      <c r="DJ49">
        <v>0</v>
      </c>
      <c r="DK49">
        <v>0</v>
      </c>
      <c r="DL49">
        <v>0</v>
      </c>
      <c r="DM49">
        <v>3</v>
      </c>
      <c r="DN49">
        <v>5</v>
      </c>
      <c r="DO49">
        <v>0</v>
      </c>
      <c r="DP49">
        <v>0</v>
      </c>
      <c r="DQ49">
        <v>5</v>
      </c>
      <c r="DR49">
        <v>2</v>
      </c>
      <c r="DS49">
        <v>0</v>
      </c>
      <c r="DT49">
        <v>0</v>
      </c>
      <c r="DU49">
        <v>5</v>
      </c>
      <c r="DV49">
        <v>0</v>
      </c>
      <c r="DW49">
        <v>196</v>
      </c>
      <c r="DX49">
        <v>107</v>
      </c>
      <c r="DY49">
        <v>0.54591834545135498</v>
      </c>
      <c r="DZ49" t="s">
        <v>144</v>
      </c>
      <c r="EA49">
        <v>24357</v>
      </c>
      <c r="EB49" t="s">
        <v>271</v>
      </c>
      <c r="EC49" t="s">
        <v>210</v>
      </c>
    </row>
    <row r="50" spans="1:133" x14ac:dyDescent="0.25">
      <c r="A50">
        <v>24</v>
      </c>
      <c r="B50">
        <v>24333</v>
      </c>
      <c r="C50" t="s">
        <v>255</v>
      </c>
      <c r="D50" t="s">
        <v>243</v>
      </c>
      <c r="E50" t="s">
        <v>173</v>
      </c>
      <c r="F50" t="s">
        <v>277</v>
      </c>
      <c r="G50" s="1">
        <v>1.59</v>
      </c>
      <c r="H50" t="s">
        <v>237</v>
      </c>
      <c r="I50" t="s">
        <v>140</v>
      </c>
      <c r="L50">
        <v>25422127</v>
      </c>
      <c r="N50" t="s">
        <v>257</v>
      </c>
      <c r="O50">
        <v>2015</v>
      </c>
      <c r="P50" t="s">
        <v>197</v>
      </c>
      <c r="Q50">
        <v>2747</v>
      </c>
      <c r="R50">
        <v>50371</v>
      </c>
      <c r="T50">
        <v>364.06201171875</v>
      </c>
      <c r="U50" t="s">
        <v>140</v>
      </c>
      <c r="W50" t="s">
        <v>258</v>
      </c>
      <c r="X50">
        <v>364.06201171875</v>
      </c>
      <c r="Y50" t="s">
        <v>179</v>
      </c>
      <c r="Z50">
        <v>9</v>
      </c>
      <c r="AA50" t="s">
        <v>144</v>
      </c>
      <c r="AB50">
        <v>6</v>
      </c>
      <c r="AC50" t="s">
        <v>145</v>
      </c>
      <c r="AF50" t="s">
        <v>140</v>
      </c>
      <c r="AG50" t="s">
        <v>259</v>
      </c>
      <c r="AH50" t="s">
        <v>140</v>
      </c>
      <c r="AI50" t="s">
        <v>260</v>
      </c>
      <c r="AJ50" t="s">
        <v>201</v>
      </c>
      <c r="AK50" t="s">
        <v>140</v>
      </c>
      <c r="AL50" t="s">
        <v>149</v>
      </c>
      <c r="AM50" t="s">
        <v>140</v>
      </c>
      <c r="AP50" t="s">
        <v>261</v>
      </c>
      <c r="AQ50" t="s">
        <v>262</v>
      </c>
      <c r="AR50">
        <v>2.5000000372528999E-2</v>
      </c>
      <c r="AS50" t="s">
        <v>263</v>
      </c>
      <c r="AT50">
        <v>0.313</v>
      </c>
      <c r="AU50" t="s">
        <v>264</v>
      </c>
      <c r="AW50">
        <v>1.1395099863875699E-4</v>
      </c>
      <c r="AX50" t="s">
        <v>204</v>
      </c>
      <c r="AY50" t="s">
        <v>265</v>
      </c>
      <c r="AZ50" t="s">
        <v>148</v>
      </c>
      <c r="BA50" t="s">
        <v>173</v>
      </c>
      <c r="BC50">
        <v>1</v>
      </c>
      <c r="BD50">
        <v>1</v>
      </c>
      <c r="BE50">
        <v>24</v>
      </c>
      <c r="BF50" t="s">
        <v>156</v>
      </c>
      <c r="BG50">
        <v>24</v>
      </c>
      <c r="BI50">
        <v>1</v>
      </c>
      <c r="BJ50">
        <v>10</v>
      </c>
      <c r="BK50" t="s">
        <v>186</v>
      </c>
      <c r="BL50">
        <v>10</v>
      </c>
      <c r="BM50" t="s">
        <v>206</v>
      </c>
      <c r="BN50">
        <v>1</v>
      </c>
      <c r="BO50" t="s">
        <v>159</v>
      </c>
      <c r="BP50">
        <v>1</v>
      </c>
      <c r="BQ50" t="s">
        <v>243</v>
      </c>
      <c r="BR50">
        <v>1</v>
      </c>
      <c r="BS50" t="s">
        <v>266</v>
      </c>
      <c r="BT50">
        <v>0.211122685</v>
      </c>
      <c r="BV50">
        <v>1</v>
      </c>
      <c r="BW50">
        <v>1</v>
      </c>
      <c r="BX50" t="s">
        <v>181</v>
      </c>
      <c r="BZ50" t="s">
        <v>267</v>
      </c>
      <c r="CB50" t="s">
        <v>140</v>
      </c>
      <c r="CF50" t="s">
        <v>163</v>
      </c>
      <c r="CG50">
        <v>0</v>
      </c>
      <c r="CH50">
        <v>0</v>
      </c>
      <c r="CI50">
        <v>0</v>
      </c>
      <c r="CJ50">
        <v>1</v>
      </c>
      <c r="CK50">
        <v>1</v>
      </c>
      <c r="CL50">
        <v>1</v>
      </c>
      <c r="CM50">
        <v>0</v>
      </c>
      <c r="CN50" t="s">
        <v>164</v>
      </c>
      <c r="CP50">
        <v>0</v>
      </c>
      <c r="CQ50">
        <v>0</v>
      </c>
      <c r="CS50">
        <v>5</v>
      </c>
      <c r="CT50">
        <v>10</v>
      </c>
      <c r="CU50">
        <v>6</v>
      </c>
      <c r="CV50">
        <v>1</v>
      </c>
      <c r="CW50">
        <v>10</v>
      </c>
      <c r="CX50">
        <v>5</v>
      </c>
      <c r="CY50">
        <v>3</v>
      </c>
      <c r="CZ50">
        <v>5</v>
      </c>
      <c r="DA50">
        <v>5</v>
      </c>
      <c r="DB50">
        <v>5</v>
      </c>
      <c r="DC50">
        <v>5</v>
      </c>
      <c r="DD50">
        <v>5</v>
      </c>
      <c r="DE50">
        <v>5</v>
      </c>
      <c r="DF50">
        <v>5</v>
      </c>
      <c r="DG50">
        <v>5</v>
      </c>
      <c r="DH50">
        <v>2</v>
      </c>
      <c r="DI50">
        <v>5</v>
      </c>
      <c r="DJ50">
        <v>0</v>
      </c>
      <c r="DK50">
        <v>0</v>
      </c>
      <c r="DL50">
        <v>0</v>
      </c>
      <c r="DM50">
        <v>3</v>
      </c>
      <c r="DN50">
        <v>0</v>
      </c>
      <c r="DO50">
        <v>0</v>
      </c>
      <c r="DP50">
        <v>0</v>
      </c>
      <c r="DQ50">
        <v>5</v>
      </c>
      <c r="DR50">
        <v>2</v>
      </c>
      <c r="DS50">
        <v>10</v>
      </c>
      <c r="DT50">
        <v>0</v>
      </c>
      <c r="DU50">
        <v>5</v>
      </c>
      <c r="DV50">
        <v>0</v>
      </c>
      <c r="DW50">
        <v>181</v>
      </c>
      <c r="DX50">
        <v>112</v>
      </c>
      <c r="DY50">
        <v>0.61878454685211204</v>
      </c>
      <c r="DZ50" t="s">
        <v>144</v>
      </c>
      <c r="EA50">
        <v>24333</v>
      </c>
      <c r="EB50" t="s">
        <v>268</v>
      </c>
      <c r="EC50" t="s">
        <v>210</v>
      </c>
    </row>
    <row r="51" spans="1:133" x14ac:dyDescent="0.25">
      <c r="A51">
        <v>34</v>
      </c>
      <c r="B51">
        <v>24341</v>
      </c>
      <c r="C51" t="s">
        <v>255</v>
      </c>
      <c r="D51" t="s">
        <v>243</v>
      </c>
      <c r="E51" t="s">
        <v>173</v>
      </c>
      <c r="F51" t="s">
        <v>277</v>
      </c>
      <c r="G51" s="1">
        <v>1.4</v>
      </c>
      <c r="H51" t="s">
        <v>237</v>
      </c>
      <c r="I51" t="s">
        <v>140</v>
      </c>
      <c r="L51">
        <v>25422127</v>
      </c>
      <c r="N51" t="s">
        <v>257</v>
      </c>
      <c r="O51">
        <v>2015</v>
      </c>
      <c r="P51" t="s">
        <v>197</v>
      </c>
      <c r="Q51">
        <v>2755</v>
      </c>
      <c r="R51">
        <v>50379</v>
      </c>
      <c r="T51">
        <v>364.06201171875</v>
      </c>
      <c r="U51" t="s">
        <v>140</v>
      </c>
      <c r="W51" t="s">
        <v>258</v>
      </c>
      <c r="X51">
        <v>364.06201171875</v>
      </c>
      <c r="Y51" t="s">
        <v>179</v>
      </c>
      <c r="Z51">
        <v>9</v>
      </c>
      <c r="AA51" t="s">
        <v>144</v>
      </c>
      <c r="AB51">
        <v>5</v>
      </c>
      <c r="AC51" t="s">
        <v>145</v>
      </c>
      <c r="AF51" t="s">
        <v>140</v>
      </c>
      <c r="AG51" t="s">
        <v>259</v>
      </c>
      <c r="AH51" t="s">
        <v>140</v>
      </c>
      <c r="AI51" t="s">
        <v>260</v>
      </c>
      <c r="AJ51" t="s">
        <v>201</v>
      </c>
      <c r="AK51" t="s">
        <v>140</v>
      </c>
      <c r="AL51" t="s">
        <v>170</v>
      </c>
      <c r="AM51" t="s">
        <v>140</v>
      </c>
      <c r="AP51" t="s">
        <v>261</v>
      </c>
      <c r="AQ51" t="s">
        <v>262</v>
      </c>
      <c r="AR51">
        <v>2.5000000372528999E-2</v>
      </c>
      <c r="AS51" t="s">
        <v>263</v>
      </c>
      <c r="AT51">
        <v>3.13</v>
      </c>
      <c r="AU51" t="s">
        <v>264</v>
      </c>
      <c r="AW51">
        <v>1.1395140318200001E-3</v>
      </c>
      <c r="AX51" t="s">
        <v>204</v>
      </c>
      <c r="AY51" t="s">
        <v>265</v>
      </c>
      <c r="AZ51" t="s">
        <v>148</v>
      </c>
      <c r="BA51" t="s">
        <v>173</v>
      </c>
      <c r="BC51">
        <v>1</v>
      </c>
      <c r="BD51">
        <v>1</v>
      </c>
      <c r="BE51">
        <v>24</v>
      </c>
      <c r="BF51" t="s">
        <v>156</v>
      </c>
      <c r="BG51">
        <v>24</v>
      </c>
      <c r="BI51">
        <v>1</v>
      </c>
      <c r="BJ51">
        <v>10</v>
      </c>
      <c r="BK51" t="s">
        <v>186</v>
      </c>
      <c r="BL51">
        <v>10</v>
      </c>
      <c r="BM51" t="s">
        <v>206</v>
      </c>
      <c r="BN51">
        <v>1</v>
      </c>
      <c r="BO51" t="s">
        <v>159</v>
      </c>
      <c r="BP51">
        <v>1</v>
      </c>
      <c r="BQ51" t="s">
        <v>243</v>
      </c>
      <c r="BR51">
        <v>1</v>
      </c>
      <c r="BS51" t="s">
        <v>266</v>
      </c>
      <c r="BT51">
        <v>0.211122685</v>
      </c>
      <c r="BV51">
        <v>1</v>
      </c>
      <c r="BW51">
        <v>1</v>
      </c>
      <c r="BX51" t="s">
        <v>181</v>
      </c>
      <c r="BZ51" t="s">
        <v>267</v>
      </c>
      <c r="CB51" t="s">
        <v>140</v>
      </c>
      <c r="CF51" t="s">
        <v>163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0</v>
      </c>
      <c r="CN51" t="s">
        <v>164</v>
      </c>
      <c r="CP51">
        <v>0</v>
      </c>
      <c r="CQ51">
        <v>0</v>
      </c>
      <c r="CS51">
        <v>5</v>
      </c>
      <c r="CT51">
        <v>10</v>
      </c>
      <c r="CU51">
        <v>6</v>
      </c>
      <c r="CV51">
        <v>1</v>
      </c>
      <c r="CW51">
        <v>10</v>
      </c>
      <c r="CX51">
        <v>5</v>
      </c>
      <c r="CY51">
        <v>3</v>
      </c>
      <c r="CZ51">
        <v>5</v>
      </c>
      <c r="DA51">
        <v>5</v>
      </c>
      <c r="DB51">
        <v>5</v>
      </c>
      <c r="DC51">
        <v>5</v>
      </c>
      <c r="DD51">
        <v>5</v>
      </c>
      <c r="DE51">
        <v>5</v>
      </c>
      <c r="DF51">
        <v>5</v>
      </c>
      <c r="DG51">
        <v>5</v>
      </c>
      <c r="DH51">
        <v>2</v>
      </c>
      <c r="DI51">
        <v>5</v>
      </c>
      <c r="DJ51">
        <v>0</v>
      </c>
      <c r="DK51">
        <v>0</v>
      </c>
      <c r="DL51">
        <v>0</v>
      </c>
      <c r="DM51">
        <v>3</v>
      </c>
      <c r="DN51">
        <v>0</v>
      </c>
      <c r="DO51">
        <v>0</v>
      </c>
      <c r="DP51">
        <v>0</v>
      </c>
      <c r="DQ51">
        <v>5</v>
      </c>
      <c r="DR51">
        <v>2</v>
      </c>
      <c r="DS51">
        <v>10</v>
      </c>
      <c r="DT51">
        <v>0</v>
      </c>
      <c r="DU51">
        <v>5</v>
      </c>
      <c r="DV51">
        <v>0</v>
      </c>
      <c r="DW51">
        <v>181</v>
      </c>
      <c r="DX51">
        <v>112</v>
      </c>
      <c r="DY51">
        <v>0.61878454685211204</v>
      </c>
      <c r="DZ51" t="s">
        <v>144</v>
      </c>
      <c r="EA51">
        <v>24341</v>
      </c>
      <c r="EB51" t="s">
        <v>269</v>
      </c>
      <c r="EC51" t="s">
        <v>210</v>
      </c>
    </row>
    <row r="52" spans="1:133" x14ac:dyDescent="0.25">
      <c r="A52">
        <v>38</v>
      </c>
      <c r="B52">
        <v>24349</v>
      </c>
      <c r="C52" t="s">
        <v>255</v>
      </c>
      <c r="D52" t="s">
        <v>243</v>
      </c>
      <c r="E52" t="s">
        <v>193</v>
      </c>
      <c r="F52" t="s">
        <v>277</v>
      </c>
      <c r="G52" s="1">
        <v>0.8</v>
      </c>
      <c r="H52" t="s">
        <v>237</v>
      </c>
      <c r="I52" t="s">
        <v>140</v>
      </c>
      <c r="L52">
        <v>25422127</v>
      </c>
      <c r="N52" t="s">
        <v>257</v>
      </c>
      <c r="O52">
        <v>2015</v>
      </c>
      <c r="P52" t="s">
        <v>197</v>
      </c>
      <c r="Q52">
        <v>2763</v>
      </c>
      <c r="R52">
        <v>50387</v>
      </c>
      <c r="T52">
        <v>364.06201171875</v>
      </c>
      <c r="U52" t="s">
        <v>140</v>
      </c>
      <c r="W52" t="s">
        <v>258</v>
      </c>
      <c r="X52">
        <v>364.06201171875</v>
      </c>
      <c r="Y52" t="s">
        <v>179</v>
      </c>
      <c r="Z52">
        <v>9</v>
      </c>
      <c r="AA52" t="s">
        <v>144</v>
      </c>
      <c r="AB52">
        <v>5</v>
      </c>
      <c r="AC52" t="s">
        <v>145</v>
      </c>
      <c r="AF52" t="s">
        <v>140</v>
      </c>
      <c r="AG52" t="s">
        <v>259</v>
      </c>
      <c r="AH52" t="s">
        <v>140</v>
      </c>
      <c r="AI52" t="s">
        <v>260</v>
      </c>
      <c r="AJ52" t="s">
        <v>201</v>
      </c>
      <c r="AK52" t="s">
        <v>140</v>
      </c>
      <c r="AL52" t="s">
        <v>149</v>
      </c>
      <c r="AM52" t="s">
        <v>140</v>
      </c>
      <c r="AP52" t="s">
        <v>261</v>
      </c>
      <c r="AQ52" t="s">
        <v>262</v>
      </c>
      <c r="AR52">
        <v>2.5000000372528999E-2</v>
      </c>
      <c r="AS52" t="s">
        <v>263</v>
      </c>
      <c r="AT52">
        <v>3.13</v>
      </c>
      <c r="AU52" t="s">
        <v>264</v>
      </c>
      <c r="AW52">
        <v>1.1395140318200001E-3</v>
      </c>
      <c r="AX52" t="s">
        <v>204</v>
      </c>
      <c r="AY52" t="s">
        <v>265</v>
      </c>
      <c r="AZ52" t="s">
        <v>148</v>
      </c>
      <c r="BA52" t="s">
        <v>193</v>
      </c>
      <c r="BC52">
        <v>1</v>
      </c>
      <c r="BD52">
        <v>0</v>
      </c>
      <c r="BE52">
        <v>24</v>
      </c>
      <c r="BF52" t="s">
        <v>156</v>
      </c>
      <c r="BG52">
        <v>24</v>
      </c>
      <c r="BI52">
        <v>1</v>
      </c>
      <c r="BJ52">
        <v>10</v>
      </c>
      <c r="BK52" t="s">
        <v>186</v>
      </c>
      <c r="BL52">
        <v>10</v>
      </c>
      <c r="BM52" t="s">
        <v>206</v>
      </c>
      <c r="BN52">
        <v>1</v>
      </c>
      <c r="BO52" t="s">
        <v>159</v>
      </c>
      <c r="BP52">
        <v>1</v>
      </c>
      <c r="BQ52" t="s">
        <v>243</v>
      </c>
      <c r="BR52">
        <v>1</v>
      </c>
      <c r="BS52" t="s">
        <v>266</v>
      </c>
      <c r="BT52">
        <v>0.211122685</v>
      </c>
      <c r="BV52">
        <v>1</v>
      </c>
      <c r="BW52">
        <v>1</v>
      </c>
      <c r="BX52" t="s">
        <v>181</v>
      </c>
      <c r="BZ52" t="s">
        <v>267</v>
      </c>
      <c r="CB52" t="s">
        <v>140</v>
      </c>
      <c r="CF52" t="s">
        <v>163</v>
      </c>
      <c r="CG52">
        <v>1</v>
      </c>
      <c r="CH52">
        <v>0</v>
      </c>
      <c r="CI52">
        <v>0</v>
      </c>
      <c r="CJ52">
        <v>1</v>
      </c>
      <c r="CK52">
        <v>1</v>
      </c>
      <c r="CL52">
        <v>0</v>
      </c>
      <c r="CM52">
        <v>0</v>
      </c>
      <c r="CN52" t="s">
        <v>164</v>
      </c>
      <c r="CP52">
        <v>0</v>
      </c>
      <c r="CQ52">
        <v>0</v>
      </c>
      <c r="CS52">
        <v>5</v>
      </c>
      <c r="CT52">
        <v>10</v>
      </c>
      <c r="CU52">
        <v>6</v>
      </c>
      <c r="CV52">
        <v>1</v>
      </c>
      <c r="CW52">
        <v>10</v>
      </c>
      <c r="CX52">
        <v>5</v>
      </c>
      <c r="CY52">
        <v>3</v>
      </c>
      <c r="CZ52">
        <v>5</v>
      </c>
      <c r="DA52">
        <v>5</v>
      </c>
      <c r="DB52">
        <v>5</v>
      </c>
      <c r="DC52">
        <v>5</v>
      </c>
      <c r="DD52">
        <v>5</v>
      </c>
      <c r="DE52">
        <v>5</v>
      </c>
      <c r="DF52">
        <v>5</v>
      </c>
      <c r="DG52">
        <v>5</v>
      </c>
      <c r="DH52">
        <v>2</v>
      </c>
      <c r="DI52">
        <v>5</v>
      </c>
      <c r="DJ52">
        <v>0</v>
      </c>
      <c r="DK52">
        <v>0</v>
      </c>
      <c r="DL52">
        <v>0</v>
      </c>
      <c r="DM52">
        <v>3</v>
      </c>
      <c r="DN52">
        <v>5</v>
      </c>
      <c r="DO52">
        <v>0</v>
      </c>
      <c r="DP52">
        <v>0</v>
      </c>
      <c r="DQ52">
        <v>5</v>
      </c>
      <c r="DR52">
        <v>2</v>
      </c>
      <c r="DS52">
        <v>0</v>
      </c>
      <c r="DT52">
        <v>0</v>
      </c>
      <c r="DU52">
        <v>5</v>
      </c>
      <c r="DV52">
        <v>0</v>
      </c>
      <c r="DW52">
        <v>196</v>
      </c>
      <c r="DX52">
        <v>107</v>
      </c>
      <c r="DY52">
        <v>0.54591834545135498</v>
      </c>
      <c r="DZ52" t="s">
        <v>144</v>
      </c>
      <c r="EA52">
        <v>24349</v>
      </c>
      <c r="EB52" t="s">
        <v>270</v>
      </c>
      <c r="EC52" t="s">
        <v>210</v>
      </c>
    </row>
    <row r="53" spans="1:133" x14ac:dyDescent="0.25">
      <c r="A53">
        <v>42</v>
      </c>
      <c r="B53">
        <v>24357</v>
      </c>
      <c r="C53" t="s">
        <v>255</v>
      </c>
      <c r="D53" t="s">
        <v>243</v>
      </c>
      <c r="E53" t="s">
        <v>193</v>
      </c>
      <c r="F53" t="s">
        <v>277</v>
      </c>
      <c r="G53" s="1">
        <v>0.2</v>
      </c>
      <c r="H53" t="s">
        <v>237</v>
      </c>
      <c r="I53" t="s">
        <v>140</v>
      </c>
      <c r="L53">
        <v>25422127</v>
      </c>
      <c r="N53" t="s">
        <v>257</v>
      </c>
      <c r="O53">
        <v>2015</v>
      </c>
      <c r="P53" t="s">
        <v>197</v>
      </c>
      <c r="Q53">
        <v>2771</v>
      </c>
      <c r="R53">
        <v>50395</v>
      </c>
      <c r="T53">
        <v>364.06201171875</v>
      </c>
      <c r="U53" t="s">
        <v>140</v>
      </c>
      <c r="W53" t="s">
        <v>258</v>
      </c>
      <c r="X53">
        <v>364.06201171875</v>
      </c>
      <c r="Y53" t="s">
        <v>179</v>
      </c>
      <c r="Z53">
        <v>9</v>
      </c>
      <c r="AA53" t="s">
        <v>144</v>
      </c>
      <c r="AB53">
        <v>5</v>
      </c>
      <c r="AC53" t="s">
        <v>145</v>
      </c>
      <c r="AF53" t="s">
        <v>140</v>
      </c>
      <c r="AG53" t="s">
        <v>259</v>
      </c>
      <c r="AH53" t="s">
        <v>140</v>
      </c>
      <c r="AI53" t="s">
        <v>260</v>
      </c>
      <c r="AJ53" t="s">
        <v>201</v>
      </c>
      <c r="AK53" t="s">
        <v>140</v>
      </c>
      <c r="AL53" t="s">
        <v>170</v>
      </c>
      <c r="AM53" t="s">
        <v>140</v>
      </c>
      <c r="AP53" t="s">
        <v>261</v>
      </c>
      <c r="AQ53" t="s">
        <v>262</v>
      </c>
      <c r="AR53">
        <v>2.5000000372528999E-2</v>
      </c>
      <c r="AS53" t="s">
        <v>263</v>
      </c>
      <c r="AT53">
        <v>3.13</v>
      </c>
      <c r="AU53" t="s">
        <v>264</v>
      </c>
      <c r="AW53">
        <v>1.1395140318200001E-3</v>
      </c>
      <c r="AX53" t="s">
        <v>204</v>
      </c>
      <c r="AY53" t="s">
        <v>265</v>
      </c>
      <c r="AZ53" t="s">
        <v>148</v>
      </c>
      <c r="BA53" t="s">
        <v>193</v>
      </c>
      <c r="BC53">
        <v>1</v>
      </c>
      <c r="BD53">
        <v>0</v>
      </c>
      <c r="BE53">
        <v>24</v>
      </c>
      <c r="BF53" t="s">
        <v>156</v>
      </c>
      <c r="BG53">
        <v>24</v>
      </c>
      <c r="BI53">
        <v>1</v>
      </c>
      <c r="BJ53">
        <v>10</v>
      </c>
      <c r="BK53" t="s">
        <v>186</v>
      </c>
      <c r="BL53">
        <v>10</v>
      </c>
      <c r="BM53" t="s">
        <v>206</v>
      </c>
      <c r="BN53">
        <v>1</v>
      </c>
      <c r="BO53" t="s">
        <v>159</v>
      </c>
      <c r="BP53">
        <v>1</v>
      </c>
      <c r="BQ53" t="s">
        <v>243</v>
      </c>
      <c r="BR53">
        <v>1</v>
      </c>
      <c r="BS53" t="s">
        <v>266</v>
      </c>
      <c r="BT53">
        <v>0.211122685</v>
      </c>
      <c r="BV53">
        <v>1</v>
      </c>
      <c r="BW53">
        <v>1</v>
      </c>
      <c r="BX53" t="s">
        <v>181</v>
      </c>
      <c r="BZ53" t="s">
        <v>267</v>
      </c>
      <c r="CB53" t="s">
        <v>140</v>
      </c>
      <c r="CF53" t="s">
        <v>163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0</v>
      </c>
      <c r="CM53">
        <v>0</v>
      </c>
      <c r="CN53" t="s">
        <v>164</v>
      </c>
      <c r="CP53">
        <v>0</v>
      </c>
      <c r="CQ53">
        <v>0</v>
      </c>
      <c r="CS53">
        <v>5</v>
      </c>
      <c r="CT53">
        <v>10</v>
      </c>
      <c r="CU53">
        <v>6</v>
      </c>
      <c r="CV53">
        <v>1</v>
      </c>
      <c r="CW53">
        <v>10</v>
      </c>
      <c r="CX53">
        <v>5</v>
      </c>
      <c r="CY53">
        <v>3</v>
      </c>
      <c r="CZ53">
        <v>5</v>
      </c>
      <c r="DA53">
        <v>5</v>
      </c>
      <c r="DB53">
        <v>5</v>
      </c>
      <c r="DC53">
        <v>5</v>
      </c>
      <c r="DD53">
        <v>5</v>
      </c>
      <c r="DE53">
        <v>5</v>
      </c>
      <c r="DF53">
        <v>5</v>
      </c>
      <c r="DG53">
        <v>5</v>
      </c>
      <c r="DH53">
        <v>2</v>
      </c>
      <c r="DI53">
        <v>5</v>
      </c>
      <c r="DJ53">
        <v>0</v>
      </c>
      <c r="DK53">
        <v>0</v>
      </c>
      <c r="DL53">
        <v>0</v>
      </c>
      <c r="DM53">
        <v>3</v>
      </c>
      <c r="DN53">
        <v>5</v>
      </c>
      <c r="DO53">
        <v>0</v>
      </c>
      <c r="DP53">
        <v>0</v>
      </c>
      <c r="DQ53">
        <v>5</v>
      </c>
      <c r="DR53">
        <v>2</v>
      </c>
      <c r="DS53">
        <v>0</v>
      </c>
      <c r="DT53">
        <v>0</v>
      </c>
      <c r="DU53">
        <v>5</v>
      </c>
      <c r="DV53">
        <v>0</v>
      </c>
      <c r="DW53">
        <v>196</v>
      </c>
      <c r="DX53">
        <v>107</v>
      </c>
      <c r="DY53">
        <v>0.54591834545135498</v>
      </c>
      <c r="DZ53" t="s">
        <v>144</v>
      </c>
      <c r="EA53">
        <v>24357</v>
      </c>
      <c r="EB53" t="s">
        <v>271</v>
      </c>
      <c r="EC53" t="s">
        <v>210</v>
      </c>
    </row>
    <row r="54" spans="1:133" hidden="1" x14ac:dyDescent="0.25">
      <c r="A54">
        <v>21</v>
      </c>
      <c r="B54">
        <v>24333</v>
      </c>
      <c r="C54" t="s">
        <v>255</v>
      </c>
      <c r="D54" t="s">
        <v>243</v>
      </c>
      <c r="E54" t="s">
        <v>173</v>
      </c>
      <c r="F54" t="s">
        <v>278</v>
      </c>
      <c r="G54" s="1">
        <v>0.2</v>
      </c>
      <c r="H54" t="s">
        <v>237</v>
      </c>
      <c r="I54" t="s">
        <v>140</v>
      </c>
      <c r="L54">
        <v>25422127</v>
      </c>
      <c r="N54" t="s">
        <v>257</v>
      </c>
      <c r="O54">
        <v>2015</v>
      </c>
      <c r="P54" t="s">
        <v>197</v>
      </c>
      <c r="Q54">
        <v>2747</v>
      </c>
      <c r="R54">
        <v>50371</v>
      </c>
      <c r="T54">
        <v>364.06201171875</v>
      </c>
      <c r="U54" t="s">
        <v>140</v>
      </c>
      <c r="W54" t="s">
        <v>258</v>
      </c>
      <c r="X54">
        <v>364.06201171875</v>
      </c>
      <c r="Y54" t="s">
        <v>179</v>
      </c>
      <c r="Z54">
        <v>9</v>
      </c>
      <c r="AA54" t="s">
        <v>144</v>
      </c>
      <c r="AB54">
        <v>6</v>
      </c>
      <c r="AC54" t="s">
        <v>145</v>
      </c>
      <c r="AF54" t="s">
        <v>140</v>
      </c>
      <c r="AG54" t="s">
        <v>259</v>
      </c>
      <c r="AH54" t="s">
        <v>140</v>
      </c>
      <c r="AI54" t="s">
        <v>260</v>
      </c>
      <c r="AJ54" t="s">
        <v>201</v>
      </c>
      <c r="AK54" t="s">
        <v>140</v>
      </c>
      <c r="AL54" t="s">
        <v>149</v>
      </c>
      <c r="AM54" t="s">
        <v>140</v>
      </c>
      <c r="AP54" t="s">
        <v>261</v>
      </c>
      <c r="AQ54" t="s">
        <v>262</v>
      </c>
      <c r="AR54">
        <v>2.5000000372528999E-2</v>
      </c>
      <c r="AS54" t="s">
        <v>263</v>
      </c>
      <c r="AT54">
        <v>0.313</v>
      </c>
      <c r="AU54" t="s">
        <v>264</v>
      </c>
      <c r="AW54">
        <v>1.1395099863875699E-4</v>
      </c>
      <c r="AX54" t="s">
        <v>204</v>
      </c>
      <c r="AY54" t="s">
        <v>265</v>
      </c>
      <c r="AZ54" t="s">
        <v>148</v>
      </c>
      <c r="BA54" t="s">
        <v>173</v>
      </c>
      <c r="BC54">
        <v>1</v>
      </c>
      <c r="BD54">
        <v>1</v>
      </c>
      <c r="BE54">
        <v>24</v>
      </c>
      <c r="BF54" t="s">
        <v>156</v>
      </c>
      <c r="BG54">
        <v>24</v>
      </c>
      <c r="BI54">
        <v>1</v>
      </c>
      <c r="BJ54">
        <v>10</v>
      </c>
      <c r="BK54" t="s">
        <v>186</v>
      </c>
      <c r="BL54">
        <v>10</v>
      </c>
      <c r="BM54" t="s">
        <v>206</v>
      </c>
      <c r="BN54">
        <v>1</v>
      </c>
      <c r="BO54" t="s">
        <v>159</v>
      </c>
      <c r="BP54">
        <v>1</v>
      </c>
      <c r="BQ54" t="s">
        <v>243</v>
      </c>
      <c r="BR54">
        <v>1</v>
      </c>
      <c r="BS54" t="s">
        <v>266</v>
      </c>
      <c r="BT54">
        <v>0.211122685</v>
      </c>
      <c r="BV54">
        <v>1</v>
      </c>
      <c r="BW54">
        <v>1</v>
      </c>
      <c r="BX54" t="s">
        <v>181</v>
      </c>
      <c r="BZ54" t="s">
        <v>267</v>
      </c>
      <c r="CB54" t="s">
        <v>140</v>
      </c>
      <c r="CF54" t="s">
        <v>163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1</v>
      </c>
      <c r="CM54">
        <v>0</v>
      </c>
      <c r="CN54" t="s">
        <v>164</v>
      </c>
      <c r="CP54">
        <v>0</v>
      </c>
      <c r="CQ54">
        <v>0</v>
      </c>
      <c r="CS54">
        <v>5</v>
      </c>
      <c r="CT54">
        <v>10</v>
      </c>
      <c r="CU54">
        <v>6</v>
      </c>
      <c r="CV54">
        <v>1</v>
      </c>
      <c r="CW54">
        <v>10</v>
      </c>
      <c r="CX54">
        <v>5</v>
      </c>
      <c r="CY54">
        <v>3</v>
      </c>
      <c r="CZ54">
        <v>5</v>
      </c>
      <c r="DA54">
        <v>5</v>
      </c>
      <c r="DB54">
        <v>5</v>
      </c>
      <c r="DC54">
        <v>5</v>
      </c>
      <c r="DD54">
        <v>5</v>
      </c>
      <c r="DE54">
        <v>5</v>
      </c>
      <c r="DF54">
        <v>5</v>
      </c>
      <c r="DG54">
        <v>5</v>
      </c>
      <c r="DH54">
        <v>2</v>
      </c>
      <c r="DI54">
        <v>5</v>
      </c>
      <c r="DJ54">
        <v>0</v>
      </c>
      <c r="DK54">
        <v>0</v>
      </c>
      <c r="DL54">
        <v>0</v>
      </c>
      <c r="DM54">
        <v>3</v>
      </c>
      <c r="DN54">
        <v>0</v>
      </c>
      <c r="DO54">
        <v>0</v>
      </c>
      <c r="DP54">
        <v>0</v>
      </c>
      <c r="DQ54">
        <v>5</v>
      </c>
      <c r="DR54">
        <v>2</v>
      </c>
      <c r="DS54">
        <v>10</v>
      </c>
      <c r="DT54">
        <v>0</v>
      </c>
      <c r="DU54">
        <v>5</v>
      </c>
      <c r="DV54">
        <v>0</v>
      </c>
      <c r="DW54">
        <v>181</v>
      </c>
      <c r="DX54">
        <v>112</v>
      </c>
      <c r="DY54">
        <v>0.61878454685211204</v>
      </c>
      <c r="DZ54" t="s">
        <v>144</v>
      </c>
      <c r="EA54">
        <v>24333</v>
      </c>
      <c r="EB54" t="s">
        <v>268</v>
      </c>
      <c r="EC54" t="s">
        <v>210</v>
      </c>
    </row>
    <row r="55" spans="1:133" hidden="1" x14ac:dyDescent="0.25">
      <c r="A55">
        <v>28</v>
      </c>
      <c r="B55">
        <v>24341</v>
      </c>
      <c r="C55" t="s">
        <v>255</v>
      </c>
      <c r="D55" t="s">
        <v>243</v>
      </c>
      <c r="E55" t="s">
        <v>173</v>
      </c>
      <c r="F55" t="s">
        <v>278</v>
      </c>
      <c r="G55" s="1">
        <v>0.18</v>
      </c>
      <c r="H55" t="s">
        <v>237</v>
      </c>
      <c r="I55" t="s">
        <v>140</v>
      </c>
      <c r="L55">
        <v>25422127</v>
      </c>
      <c r="N55" t="s">
        <v>257</v>
      </c>
      <c r="O55">
        <v>2015</v>
      </c>
      <c r="P55" t="s">
        <v>197</v>
      </c>
      <c r="Q55">
        <v>2755</v>
      </c>
      <c r="R55">
        <v>50379</v>
      </c>
      <c r="T55">
        <v>364.06201171875</v>
      </c>
      <c r="U55" t="s">
        <v>140</v>
      </c>
      <c r="W55" t="s">
        <v>258</v>
      </c>
      <c r="X55">
        <v>364.06201171875</v>
      </c>
      <c r="Y55" t="s">
        <v>179</v>
      </c>
      <c r="Z55">
        <v>9</v>
      </c>
      <c r="AA55" t="s">
        <v>144</v>
      </c>
      <c r="AB55">
        <v>5</v>
      </c>
      <c r="AC55" t="s">
        <v>145</v>
      </c>
      <c r="AF55" t="s">
        <v>140</v>
      </c>
      <c r="AG55" t="s">
        <v>259</v>
      </c>
      <c r="AH55" t="s">
        <v>140</v>
      </c>
      <c r="AI55" t="s">
        <v>260</v>
      </c>
      <c r="AJ55" t="s">
        <v>201</v>
      </c>
      <c r="AK55" t="s">
        <v>140</v>
      </c>
      <c r="AL55" t="s">
        <v>170</v>
      </c>
      <c r="AM55" t="s">
        <v>140</v>
      </c>
      <c r="AP55" t="s">
        <v>261</v>
      </c>
      <c r="AQ55" t="s">
        <v>262</v>
      </c>
      <c r="AR55">
        <v>2.5000000372528999E-2</v>
      </c>
      <c r="AS55" t="s">
        <v>263</v>
      </c>
      <c r="AT55">
        <v>3.13</v>
      </c>
      <c r="AU55" t="s">
        <v>264</v>
      </c>
      <c r="AW55">
        <v>1.1395140318200001E-3</v>
      </c>
      <c r="AX55" t="s">
        <v>204</v>
      </c>
      <c r="AY55" t="s">
        <v>265</v>
      </c>
      <c r="AZ55" t="s">
        <v>148</v>
      </c>
      <c r="BA55" t="s">
        <v>173</v>
      </c>
      <c r="BC55">
        <v>1</v>
      </c>
      <c r="BD55">
        <v>1</v>
      </c>
      <c r="BE55">
        <v>24</v>
      </c>
      <c r="BF55" t="s">
        <v>156</v>
      </c>
      <c r="BG55">
        <v>24</v>
      </c>
      <c r="BI55">
        <v>1</v>
      </c>
      <c r="BJ55">
        <v>10</v>
      </c>
      <c r="BK55" t="s">
        <v>186</v>
      </c>
      <c r="BL55">
        <v>10</v>
      </c>
      <c r="BM55" t="s">
        <v>206</v>
      </c>
      <c r="BN55">
        <v>1</v>
      </c>
      <c r="BO55" t="s">
        <v>159</v>
      </c>
      <c r="BP55">
        <v>1</v>
      </c>
      <c r="BQ55" t="s">
        <v>243</v>
      </c>
      <c r="BR55">
        <v>1</v>
      </c>
      <c r="BS55" t="s">
        <v>266</v>
      </c>
      <c r="BT55">
        <v>0.211122685</v>
      </c>
      <c r="BV55">
        <v>1</v>
      </c>
      <c r="BW55">
        <v>1</v>
      </c>
      <c r="BX55" t="s">
        <v>181</v>
      </c>
      <c r="BZ55" t="s">
        <v>267</v>
      </c>
      <c r="CB55" t="s">
        <v>140</v>
      </c>
      <c r="CF55" t="s">
        <v>163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1</v>
      </c>
      <c r="CM55">
        <v>0</v>
      </c>
      <c r="CN55" t="s">
        <v>164</v>
      </c>
      <c r="CP55">
        <v>0</v>
      </c>
      <c r="CQ55">
        <v>0</v>
      </c>
      <c r="CS55">
        <v>5</v>
      </c>
      <c r="CT55">
        <v>10</v>
      </c>
      <c r="CU55">
        <v>6</v>
      </c>
      <c r="CV55">
        <v>1</v>
      </c>
      <c r="CW55">
        <v>10</v>
      </c>
      <c r="CX55">
        <v>5</v>
      </c>
      <c r="CY55">
        <v>3</v>
      </c>
      <c r="CZ55">
        <v>5</v>
      </c>
      <c r="DA55">
        <v>5</v>
      </c>
      <c r="DB55">
        <v>5</v>
      </c>
      <c r="DC55">
        <v>5</v>
      </c>
      <c r="DD55">
        <v>5</v>
      </c>
      <c r="DE55">
        <v>5</v>
      </c>
      <c r="DF55">
        <v>5</v>
      </c>
      <c r="DG55">
        <v>5</v>
      </c>
      <c r="DH55">
        <v>2</v>
      </c>
      <c r="DI55">
        <v>5</v>
      </c>
      <c r="DJ55">
        <v>0</v>
      </c>
      <c r="DK55">
        <v>0</v>
      </c>
      <c r="DL55">
        <v>0</v>
      </c>
      <c r="DM55">
        <v>3</v>
      </c>
      <c r="DN55">
        <v>0</v>
      </c>
      <c r="DO55">
        <v>0</v>
      </c>
      <c r="DP55">
        <v>0</v>
      </c>
      <c r="DQ55">
        <v>5</v>
      </c>
      <c r="DR55">
        <v>2</v>
      </c>
      <c r="DS55">
        <v>10</v>
      </c>
      <c r="DT55">
        <v>0</v>
      </c>
      <c r="DU55">
        <v>5</v>
      </c>
      <c r="DV55">
        <v>0</v>
      </c>
      <c r="DW55">
        <v>181</v>
      </c>
      <c r="DX55">
        <v>112</v>
      </c>
      <c r="DY55">
        <v>0.61878454685211204</v>
      </c>
      <c r="DZ55" t="s">
        <v>144</v>
      </c>
      <c r="EA55">
        <v>24341</v>
      </c>
      <c r="EB55" t="s">
        <v>269</v>
      </c>
      <c r="EC55" t="s">
        <v>210</v>
      </c>
    </row>
    <row r="56" spans="1:133" hidden="1" x14ac:dyDescent="0.25">
      <c r="A56">
        <v>35</v>
      </c>
      <c r="B56">
        <v>24349</v>
      </c>
      <c r="C56" t="s">
        <v>255</v>
      </c>
      <c r="D56" t="s">
        <v>243</v>
      </c>
      <c r="E56" t="s">
        <v>193</v>
      </c>
      <c r="F56" t="s">
        <v>278</v>
      </c>
      <c r="G56" s="1">
        <v>0.18</v>
      </c>
      <c r="H56" t="s">
        <v>237</v>
      </c>
      <c r="I56" t="s">
        <v>140</v>
      </c>
      <c r="L56">
        <v>25422127</v>
      </c>
      <c r="N56" t="s">
        <v>257</v>
      </c>
      <c r="O56">
        <v>2015</v>
      </c>
      <c r="P56" t="s">
        <v>197</v>
      </c>
      <c r="Q56">
        <v>2763</v>
      </c>
      <c r="R56">
        <v>50387</v>
      </c>
      <c r="T56">
        <v>364.06201171875</v>
      </c>
      <c r="U56" t="s">
        <v>140</v>
      </c>
      <c r="W56" t="s">
        <v>258</v>
      </c>
      <c r="X56">
        <v>364.06201171875</v>
      </c>
      <c r="Y56" t="s">
        <v>179</v>
      </c>
      <c r="Z56">
        <v>9</v>
      </c>
      <c r="AA56" t="s">
        <v>144</v>
      </c>
      <c r="AB56">
        <v>5</v>
      </c>
      <c r="AC56" t="s">
        <v>145</v>
      </c>
      <c r="AF56" t="s">
        <v>140</v>
      </c>
      <c r="AG56" t="s">
        <v>259</v>
      </c>
      <c r="AH56" t="s">
        <v>140</v>
      </c>
      <c r="AI56" t="s">
        <v>260</v>
      </c>
      <c r="AJ56" t="s">
        <v>201</v>
      </c>
      <c r="AK56" t="s">
        <v>140</v>
      </c>
      <c r="AL56" t="s">
        <v>149</v>
      </c>
      <c r="AM56" t="s">
        <v>140</v>
      </c>
      <c r="AP56" t="s">
        <v>261</v>
      </c>
      <c r="AQ56" t="s">
        <v>262</v>
      </c>
      <c r="AR56">
        <v>2.5000000372528999E-2</v>
      </c>
      <c r="AS56" t="s">
        <v>263</v>
      </c>
      <c r="AT56">
        <v>3.13</v>
      </c>
      <c r="AU56" t="s">
        <v>264</v>
      </c>
      <c r="AW56">
        <v>1.1395140318200001E-3</v>
      </c>
      <c r="AX56" t="s">
        <v>204</v>
      </c>
      <c r="AY56" t="s">
        <v>265</v>
      </c>
      <c r="AZ56" t="s">
        <v>148</v>
      </c>
      <c r="BA56" t="s">
        <v>193</v>
      </c>
      <c r="BC56">
        <v>1</v>
      </c>
      <c r="BD56">
        <v>0</v>
      </c>
      <c r="BE56">
        <v>24</v>
      </c>
      <c r="BF56" t="s">
        <v>156</v>
      </c>
      <c r="BG56">
        <v>24</v>
      </c>
      <c r="BI56">
        <v>1</v>
      </c>
      <c r="BJ56">
        <v>10</v>
      </c>
      <c r="BK56" t="s">
        <v>186</v>
      </c>
      <c r="BL56">
        <v>10</v>
      </c>
      <c r="BM56" t="s">
        <v>206</v>
      </c>
      <c r="BN56">
        <v>1</v>
      </c>
      <c r="BO56" t="s">
        <v>159</v>
      </c>
      <c r="BP56">
        <v>1</v>
      </c>
      <c r="BQ56" t="s">
        <v>243</v>
      </c>
      <c r="BR56">
        <v>1</v>
      </c>
      <c r="BS56" t="s">
        <v>266</v>
      </c>
      <c r="BT56">
        <v>0.211122685</v>
      </c>
      <c r="BV56">
        <v>1</v>
      </c>
      <c r="BW56">
        <v>1</v>
      </c>
      <c r="BX56" t="s">
        <v>181</v>
      </c>
      <c r="BZ56" t="s">
        <v>267</v>
      </c>
      <c r="CB56" t="s">
        <v>140</v>
      </c>
      <c r="CF56" t="s">
        <v>163</v>
      </c>
      <c r="CG56">
        <v>1</v>
      </c>
      <c r="CH56">
        <v>0</v>
      </c>
      <c r="CI56">
        <v>0</v>
      </c>
      <c r="CJ56">
        <v>1</v>
      </c>
      <c r="CK56">
        <v>1</v>
      </c>
      <c r="CL56">
        <v>0</v>
      </c>
      <c r="CM56">
        <v>0</v>
      </c>
      <c r="CN56" t="s">
        <v>164</v>
      </c>
      <c r="CP56">
        <v>0</v>
      </c>
      <c r="CQ56">
        <v>0</v>
      </c>
      <c r="CS56">
        <v>5</v>
      </c>
      <c r="CT56">
        <v>10</v>
      </c>
      <c r="CU56">
        <v>6</v>
      </c>
      <c r="CV56">
        <v>1</v>
      </c>
      <c r="CW56">
        <v>10</v>
      </c>
      <c r="CX56">
        <v>5</v>
      </c>
      <c r="CY56">
        <v>3</v>
      </c>
      <c r="CZ56">
        <v>5</v>
      </c>
      <c r="DA56">
        <v>5</v>
      </c>
      <c r="DB56">
        <v>5</v>
      </c>
      <c r="DC56">
        <v>5</v>
      </c>
      <c r="DD56">
        <v>5</v>
      </c>
      <c r="DE56">
        <v>5</v>
      </c>
      <c r="DF56">
        <v>5</v>
      </c>
      <c r="DG56">
        <v>5</v>
      </c>
      <c r="DH56">
        <v>2</v>
      </c>
      <c r="DI56">
        <v>5</v>
      </c>
      <c r="DJ56">
        <v>0</v>
      </c>
      <c r="DK56">
        <v>0</v>
      </c>
      <c r="DL56">
        <v>0</v>
      </c>
      <c r="DM56">
        <v>3</v>
      </c>
      <c r="DN56">
        <v>5</v>
      </c>
      <c r="DO56">
        <v>0</v>
      </c>
      <c r="DP56">
        <v>0</v>
      </c>
      <c r="DQ56">
        <v>5</v>
      </c>
      <c r="DR56">
        <v>2</v>
      </c>
      <c r="DS56">
        <v>0</v>
      </c>
      <c r="DT56">
        <v>0</v>
      </c>
      <c r="DU56">
        <v>5</v>
      </c>
      <c r="DV56">
        <v>0</v>
      </c>
      <c r="DW56">
        <v>196</v>
      </c>
      <c r="DX56">
        <v>107</v>
      </c>
      <c r="DY56">
        <v>0.54591834545135498</v>
      </c>
      <c r="DZ56" t="s">
        <v>144</v>
      </c>
      <c r="EA56">
        <v>24349</v>
      </c>
      <c r="EB56" t="s">
        <v>270</v>
      </c>
      <c r="EC56" t="s">
        <v>210</v>
      </c>
    </row>
    <row r="57" spans="1:133" hidden="1" x14ac:dyDescent="0.25">
      <c r="A57">
        <v>41</v>
      </c>
      <c r="B57">
        <v>24357</v>
      </c>
      <c r="C57" t="s">
        <v>255</v>
      </c>
      <c r="D57" t="s">
        <v>243</v>
      </c>
      <c r="E57" t="s">
        <v>193</v>
      </c>
      <c r="F57" t="s">
        <v>278</v>
      </c>
      <c r="G57" s="1">
        <v>0.14000000000000001</v>
      </c>
      <c r="H57" t="s">
        <v>237</v>
      </c>
      <c r="I57" t="s">
        <v>140</v>
      </c>
      <c r="L57">
        <v>25422127</v>
      </c>
      <c r="N57" t="s">
        <v>257</v>
      </c>
      <c r="O57">
        <v>2015</v>
      </c>
      <c r="P57" t="s">
        <v>197</v>
      </c>
      <c r="Q57">
        <v>2771</v>
      </c>
      <c r="R57">
        <v>50395</v>
      </c>
      <c r="T57">
        <v>364.06201171875</v>
      </c>
      <c r="U57" t="s">
        <v>140</v>
      </c>
      <c r="W57" t="s">
        <v>258</v>
      </c>
      <c r="X57">
        <v>364.06201171875</v>
      </c>
      <c r="Y57" t="s">
        <v>179</v>
      </c>
      <c r="Z57">
        <v>9</v>
      </c>
      <c r="AA57" t="s">
        <v>144</v>
      </c>
      <c r="AB57">
        <v>5</v>
      </c>
      <c r="AC57" t="s">
        <v>145</v>
      </c>
      <c r="AF57" t="s">
        <v>140</v>
      </c>
      <c r="AG57" t="s">
        <v>259</v>
      </c>
      <c r="AH57" t="s">
        <v>140</v>
      </c>
      <c r="AI57" t="s">
        <v>260</v>
      </c>
      <c r="AJ57" t="s">
        <v>201</v>
      </c>
      <c r="AK57" t="s">
        <v>140</v>
      </c>
      <c r="AL57" t="s">
        <v>170</v>
      </c>
      <c r="AM57" t="s">
        <v>140</v>
      </c>
      <c r="AP57" t="s">
        <v>261</v>
      </c>
      <c r="AQ57" t="s">
        <v>262</v>
      </c>
      <c r="AR57">
        <v>2.5000000372528999E-2</v>
      </c>
      <c r="AS57" t="s">
        <v>263</v>
      </c>
      <c r="AT57">
        <v>3.13</v>
      </c>
      <c r="AU57" t="s">
        <v>264</v>
      </c>
      <c r="AW57">
        <v>1.1395140318200001E-3</v>
      </c>
      <c r="AX57" t="s">
        <v>204</v>
      </c>
      <c r="AY57" t="s">
        <v>265</v>
      </c>
      <c r="AZ57" t="s">
        <v>148</v>
      </c>
      <c r="BA57" t="s">
        <v>193</v>
      </c>
      <c r="BC57">
        <v>1</v>
      </c>
      <c r="BD57">
        <v>0</v>
      </c>
      <c r="BE57">
        <v>24</v>
      </c>
      <c r="BF57" t="s">
        <v>156</v>
      </c>
      <c r="BG57">
        <v>24</v>
      </c>
      <c r="BI57">
        <v>1</v>
      </c>
      <c r="BJ57">
        <v>10</v>
      </c>
      <c r="BK57" t="s">
        <v>186</v>
      </c>
      <c r="BL57">
        <v>10</v>
      </c>
      <c r="BM57" t="s">
        <v>206</v>
      </c>
      <c r="BN57">
        <v>1</v>
      </c>
      <c r="BO57" t="s">
        <v>159</v>
      </c>
      <c r="BP57">
        <v>1</v>
      </c>
      <c r="BQ57" t="s">
        <v>243</v>
      </c>
      <c r="BR57">
        <v>1</v>
      </c>
      <c r="BS57" t="s">
        <v>266</v>
      </c>
      <c r="BT57">
        <v>0.211122685</v>
      </c>
      <c r="BV57">
        <v>1</v>
      </c>
      <c r="BW57">
        <v>1</v>
      </c>
      <c r="BX57" t="s">
        <v>181</v>
      </c>
      <c r="BZ57" t="s">
        <v>267</v>
      </c>
      <c r="CB57" t="s">
        <v>140</v>
      </c>
      <c r="CF57" t="s">
        <v>163</v>
      </c>
      <c r="CG57">
        <v>1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 t="s">
        <v>164</v>
      </c>
      <c r="CP57">
        <v>0</v>
      </c>
      <c r="CQ57">
        <v>0</v>
      </c>
      <c r="CS57">
        <v>5</v>
      </c>
      <c r="CT57">
        <v>10</v>
      </c>
      <c r="CU57">
        <v>6</v>
      </c>
      <c r="CV57">
        <v>1</v>
      </c>
      <c r="CW57">
        <v>10</v>
      </c>
      <c r="CX57">
        <v>5</v>
      </c>
      <c r="CY57">
        <v>3</v>
      </c>
      <c r="CZ57">
        <v>5</v>
      </c>
      <c r="DA57">
        <v>5</v>
      </c>
      <c r="DB57">
        <v>5</v>
      </c>
      <c r="DC57">
        <v>5</v>
      </c>
      <c r="DD57">
        <v>5</v>
      </c>
      <c r="DE57">
        <v>5</v>
      </c>
      <c r="DF57">
        <v>5</v>
      </c>
      <c r="DG57">
        <v>5</v>
      </c>
      <c r="DH57">
        <v>2</v>
      </c>
      <c r="DI57">
        <v>5</v>
      </c>
      <c r="DJ57">
        <v>0</v>
      </c>
      <c r="DK57">
        <v>0</v>
      </c>
      <c r="DL57">
        <v>0</v>
      </c>
      <c r="DM57">
        <v>3</v>
      </c>
      <c r="DN57">
        <v>5</v>
      </c>
      <c r="DO57">
        <v>0</v>
      </c>
      <c r="DP57">
        <v>0</v>
      </c>
      <c r="DQ57">
        <v>5</v>
      </c>
      <c r="DR57">
        <v>2</v>
      </c>
      <c r="DS57">
        <v>0</v>
      </c>
      <c r="DT57">
        <v>0</v>
      </c>
      <c r="DU57">
        <v>5</v>
      </c>
      <c r="DV57">
        <v>0</v>
      </c>
      <c r="DW57">
        <v>196</v>
      </c>
      <c r="DX57">
        <v>107</v>
      </c>
      <c r="DY57">
        <v>0.54591834545135498</v>
      </c>
      <c r="DZ57" t="s">
        <v>144</v>
      </c>
      <c r="EA57">
        <v>24357</v>
      </c>
      <c r="EB57" t="s">
        <v>271</v>
      </c>
      <c r="EC57" t="s">
        <v>210</v>
      </c>
    </row>
    <row r="58" spans="1:133" hidden="1" x14ac:dyDescent="0.25">
      <c r="A58">
        <v>22</v>
      </c>
      <c r="B58">
        <v>24333</v>
      </c>
      <c r="C58" t="s">
        <v>255</v>
      </c>
      <c r="D58" t="s">
        <v>243</v>
      </c>
      <c r="E58" t="s">
        <v>173</v>
      </c>
      <c r="F58" t="s">
        <v>240</v>
      </c>
      <c r="G58" s="1">
        <v>7.0000000000000007E-2</v>
      </c>
      <c r="H58" t="s">
        <v>241</v>
      </c>
      <c r="I58" t="s">
        <v>140</v>
      </c>
      <c r="L58">
        <v>25422127</v>
      </c>
      <c r="N58" t="s">
        <v>257</v>
      </c>
      <c r="O58">
        <v>2015</v>
      </c>
      <c r="P58" t="s">
        <v>197</v>
      </c>
      <c r="Q58">
        <v>2747</v>
      </c>
      <c r="R58">
        <v>50371</v>
      </c>
      <c r="T58">
        <v>364.06201171875</v>
      </c>
      <c r="U58" t="s">
        <v>140</v>
      </c>
      <c r="W58" t="s">
        <v>258</v>
      </c>
      <c r="X58">
        <v>364.06201171875</v>
      </c>
      <c r="Y58" t="s">
        <v>179</v>
      </c>
      <c r="Z58">
        <v>9</v>
      </c>
      <c r="AA58" t="s">
        <v>144</v>
      </c>
      <c r="AB58">
        <v>6</v>
      </c>
      <c r="AC58" t="s">
        <v>145</v>
      </c>
      <c r="AF58" t="s">
        <v>140</v>
      </c>
      <c r="AG58" t="s">
        <v>259</v>
      </c>
      <c r="AH58" t="s">
        <v>140</v>
      </c>
      <c r="AI58" t="s">
        <v>260</v>
      </c>
      <c r="AJ58" t="s">
        <v>201</v>
      </c>
      <c r="AK58" t="s">
        <v>140</v>
      </c>
      <c r="AL58" t="s">
        <v>149</v>
      </c>
      <c r="AM58" t="s">
        <v>140</v>
      </c>
      <c r="AP58" t="s">
        <v>261</v>
      </c>
      <c r="AQ58" t="s">
        <v>262</v>
      </c>
      <c r="AR58">
        <v>2.5000000372528999E-2</v>
      </c>
      <c r="AS58" t="s">
        <v>263</v>
      </c>
      <c r="AT58">
        <v>0.313</v>
      </c>
      <c r="AU58" t="s">
        <v>264</v>
      </c>
      <c r="AW58">
        <v>1.1395099863875699E-4</v>
      </c>
      <c r="AX58" t="s">
        <v>204</v>
      </c>
      <c r="AY58" t="s">
        <v>265</v>
      </c>
      <c r="AZ58" t="s">
        <v>148</v>
      </c>
      <c r="BA58" t="s">
        <v>173</v>
      </c>
      <c r="BC58">
        <v>1</v>
      </c>
      <c r="BD58">
        <v>1</v>
      </c>
      <c r="BE58">
        <v>24</v>
      </c>
      <c r="BF58" t="s">
        <v>156</v>
      </c>
      <c r="BG58">
        <v>24</v>
      </c>
      <c r="BI58">
        <v>1</v>
      </c>
      <c r="BJ58">
        <v>10</v>
      </c>
      <c r="BK58" t="s">
        <v>186</v>
      </c>
      <c r="BL58">
        <v>10</v>
      </c>
      <c r="BM58" t="s">
        <v>206</v>
      </c>
      <c r="BN58">
        <v>1</v>
      </c>
      <c r="BO58" t="s">
        <v>159</v>
      </c>
      <c r="BP58">
        <v>1</v>
      </c>
      <c r="BQ58" t="s">
        <v>243</v>
      </c>
      <c r="BR58">
        <v>1</v>
      </c>
      <c r="BS58" t="s">
        <v>266</v>
      </c>
      <c r="BT58">
        <v>0.211122685</v>
      </c>
      <c r="BV58">
        <v>1</v>
      </c>
      <c r="BW58">
        <v>1</v>
      </c>
      <c r="BX58" t="s">
        <v>181</v>
      </c>
      <c r="BZ58" t="s">
        <v>267</v>
      </c>
      <c r="CB58" t="s">
        <v>140</v>
      </c>
      <c r="CF58" t="s">
        <v>163</v>
      </c>
      <c r="CG58">
        <v>0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0</v>
      </c>
      <c r="CN58" t="s">
        <v>164</v>
      </c>
      <c r="CP58">
        <v>0</v>
      </c>
      <c r="CQ58">
        <v>0</v>
      </c>
      <c r="CS58">
        <v>5</v>
      </c>
      <c r="CT58">
        <v>10</v>
      </c>
      <c r="CU58">
        <v>6</v>
      </c>
      <c r="CV58">
        <v>1</v>
      </c>
      <c r="CW58">
        <v>10</v>
      </c>
      <c r="CX58">
        <v>5</v>
      </c>
      <c r="CY58">
        <v>3</v>
      </c>
      <c r="CZ58">
        <v>5</v>
      </c>
      <c r="DA58">
        <v>5</v>
      </c>
      <c r="DB58">
        <v>5</v>
      </c>
      <c r="DC58">
        <v>5</v>
      </c>
      <c r="DD58">
        <v>5</v>
      </c>
      <c r="DE58">
        <v>5</v>
      </c>
      <c r="DF58">
        <v>5</v>
      </c>
      <c r="DG58">
        <v>5</v>
      </c>
      <c r="DH58">
        <v>2</v>
      </c>
      <c r="DI58">
        <v>5</v>
      </c>
      <c r="DJ58">
        <v>0</v>
      </c>
      <c r="DK58">
        <v>0</v>
      </c>
      <c r="DL58">
        <v>0</v>
      </c>
      <c r="DM58">
        <v>3</v>
      </c>
      <c r="DN58">
        <v>0</v>
      </c>
      <c r="DO58">
        <v>0</v>
      </c>
      <c r="DP58">
        <v>0</v>
      </c>
      <c r="DQ58">
        <v>5</v>
      </c>
      <c r="DR58">
        <v>2</v>
      </c>
      <c r="DS58">
        <v>10</v>
      </c>
      <c r="DT58">
        <v>0</v>
      </c>
      <c r="DU58">
        <v>5</v>
      </c>
      <c r="DV58">
        <v>0</v>
      </c>
      <c r="DW58">
        <v>181</v>
      </c>
      <c r="DX58">
        <v>112</v>
      </c>
      <c r="DY58">
        <v>0.61878454685211204</v>
      </c>
      <c r="DZ58" t="s">
        <v>144</v>
      </c>
      <c r="EA58">
        <v>24333</v>
      </c>
      <c r="EB58" t="s">
        <v>268</v>
      </c>
      <c r="EC58" t="s">
        <v>210</v>
      </c>
    </row>
    <row r="59" spans="1:133" hidden="1" x14ac:dyDescent="0.25">
      <c r="A59">
        <v>32</v>
      </c>
      <c r="B59">
        <v>24341</v>
      </c>
      <c r="C59" t="s">
        <v>255</v>
      </c>
      <c r="D59" t="s">
        <v>243</v>
      </c>
      <c r="E59" t="s">
        <v>173</v>
      </c>
      <c r="F59" t="s">
        <v>240</v>
      </c>
      <c r="G59" s="1">
        <v>0.08</v>
      </c>
      <c r="H59" t="s">
        <v>241</v>
      </c>
      <c r="I59" t="s">
        <v>140</v>
      </c>
      <c r="L59">
        <v>25422127</v>
      </c>
      <c r="N59" t="s">
        <v>257</v>
      </c>
      <c r="O59">
        <v>2015</v>
      </c>
      <c r="P59" t="s">
        <v>197</v>
      </c>
      <c r="Q59">
        <v>2755</v>
      </c>
      <c r="R59">
        <v>50379</v>
      </c>
      <c r="T59">
        <v>364.06201171875</v>
      </c>
      <c r="U59" t="s">
        <v>140</v>
      </c>
      <c r="W59" t="s">
        <v>258</v>
      </c>
      <c r="X59">
        <v>364.06201171875</v>
      </c>
      <c r="Y59" t="s">
        <v>179</v>
      </c>
      <c r="Z59">
        <v>9</v>
      </c>
      <c r="AA59" t="s">
        <v>144</v>
      </c>
      <c r="AB59">
        <v>5</v>
      </c>
      <c r="AC59" t="s">
        <v>145</v>
      </c>
      <c r="AF59" t="s">
        <v>140</v>
      </c>
      <c r="AG59" t="s">
        <v>259</v>
      </c>
      <c r="AH59" t="s">
        <v>140</v>
      </c>
      <c r="AI59" t="s">
        <v>260</v>
      </c>
      <c r="AJ59" t="s">
        <v>201</v>
      </c>
      <c r="AK59" t="s">
        <v>140</v>
      </c>
      <c r="AL59" t="s">
        <v>170</v>
      </c>
      <c r="AM59" t="s">
        <v>140</v>
      </c>
      <c r="AP59" t="s">
        <v>261</v>
      </c>
      <c r="AQ59" t="s">
        <v>262</v>
      </c>
      <c r="AR59">
        <v>2.5000000372528999E-2</v>
      </c>
      <c r="AS59" t="s">
        <v>263</v>
      </c>
      <c r="AT59">
        <v>3.13</v>
      </c>
      <c r="AU59" t="s">
        <v>264</v>
      </c>
      <c r="AW59">
        <v>1.1395140318200001E-3</v>
      </c>
      <c r="AX59" t="s">
        <v>204</v>
      </c>
      <c r="AY59" t="s">
        <v>265</v>
      </c>
      <c r="AZ59" t="s">
        <v>148</v>
      </c>
      <c r="BA59" t="s">
        <v>173</v>
      </c>
      <c r="BC59">
        <v>1</v>
      </c>
      <c r="BD59">
        <v>1</v>
      </c>
      <c r="BE59">
        <v>24</v>
      </c>
      <c r="BF59" t="s">
        <v>156</v>
      </c>
      <c r="BG59">
        <v>24</v>
      </c>
      <c r="BI59">
        <v>1</v>
      </c>
      <c r="BJ59">
        <v>10</v>
      </c>
      <c r="BK59" t="s">
        <v>186</v>
      </c>
      <c r="BL59">
        <v>10</v>
      </c>
      <c r="BM59" t="s">
        <v>206</v>
      </c>
      <c r="BN59">
        <v>1</v>
      </c>
      <c r="BO59" t="s">
        <v>159</v>
      </c>
      <c r="BP59">
        <v>1</v>
      </c>
      <c r="BQ59" t="s">
        <v>243</v>
      </c>
      <c r="BR59">
        <v>1</v>
      </c>
      <c r="BS59" t="s">
        <v>266</v>
      </c>
      <c r="BT59">
        <v>0.211122685</v>
      </c>
      <c r="BV59">
        <v>1</v>
      </c>
      <c r="BW59">
        <v>1</v>
      </c>
      <c r="BX59" t="s">
        <v>181</v>
      </c>
      <c r="BZ59" t="s">
        <v>267</v>
      </c>
      <c r="CB59" t="s">
        <v>140</v>
      </c>
      <c r="CF59" t="s">
        <v>163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0</v>
      </c>
      <c r="CN59" t="s">
        <v>164</v>
      </c>
      <c r="CP59">
        <v>0</v>
      </c>
      <c r="CQ59">
        <v>0</v>
      </c>
      <c r="CS59">
        <v>5</v>
      </c>
      <c r="CT59">
        <v>10</v>
      </c>
      <c r="CU59">
        <v>6</v>
      </c>
      <c r="CV59">
        <v>1</v>
      </c>
      <c r="CW59">
        <v>10</v>
      </c>
      <c r="CX59">
        <v>5</v>
      </c>
      <c r="CY59">
        <v>3</v>
      </c>
      <c r="CZ59">
        <v>5</v>
      </c>
      <c r="DA59">
        <v>5</v>
      </c>
      <c r="DB59">
        <v>5</v>
      </c>
      <c r="DC59">
        <v>5</v>
      </c>
      <c r="DD59">
        <v>5</v>
      </c>
      <c r="DE59">
        <v>5</v>
      </c>
      <c r="DF59">
        <v>5</v>
      </c>
      <c r="DG59">
        <v>5</v>
      </c>
      <c r="DH59">
        <v>2</v>
      </c>
      <c r="DI59">
        <v>5</v>
      </c>
      <c r="DJ59">
        <v>0</v>
      </c>
      <c r="DK59">
        <v>0</v>
      </c>
      <c r="DL59">
        <v>0</v>
      </c>
      <c r="DM59">
        <v>3</v>
      </c>
      <c r="DN59">
        <v>0</v>
      </c>
      <c r="DO59">
        <v>0</v>
      </c>
      <c r="DP59">
        <v>0</v>
      </c>
      <c r="DQ59">
        <v>5</v>
      </c>
      <c r="DR59">
        <v>2</v>
      </c>
      <c r="DS59">
        <v>10</v>
      </c>
      <c r="DT59">
        <v>0</v>
      </c>
      <c r="DU59">
        <v>5</v>
      </c>
      <c r="DV59">
        <v>0</v>
      </c>
      <c r="DW59">
        <v>181</v>
      </c>
      <c r="DX59">
        <v>112</v>
      </c>
      <c r="DY59">
        <v>0.61878454685211204</v>
      </c>
      <c r="DZ59" t="s">
        <v>144</v>
      </c>
      <c r="EA59">
        <v>24341</v>
      </c>
      <c r="EB59" t="s">
        <v>269</v>
      </c>
      <c r="EC59" t="s">
        <v>210</v>
      </c>
    </row>
    <row r="60" spans="1:133" hidden="1" x14ac:dyDescent="0.25">
      <c r="A60">
        <v>56</v>
      </c>
      <c r="B60">
        <v>26406</v>
      </c>
      <c r="C60" t="s">
        <v>279</v>
      </c>
      <c r="D60" t="s">
        <v>280</v>
      </c>
      <c r="E60" t="s">
        <v>281</v>
      </c>
      <c r="F60" t="s">
        <v>221</v>
      </c>
      <c r="G60" s="1">
        <v>10510</v>
      </c>
      <c r="H60" t="s">
        <v>156</v>
      </c>
      <c r="I60" t="s">
        <v>140</v>
      </c>
      <c r="N60" t="s">
        <v>282</v>
      </c>
      <c r="O60">
        <v>2013</v>
      </c>
      <c r="P60" t="s">
        <v>227</v>
      </c>
      <c r="Q60">
        <v>4820</v>
      </c>
      <c r="R60">
        <v>418</v>
      </c>
      <c r="S60" t="s">
        <v>283</v>
      </c>
      <c r="AF60" t="s">
        <v>140</v>
      </c>
      <c r="AG60" t="s">
        <v>284</v>
      </c>
      <c r="AH60" t="s">
        <v>140</v>
      </c>
      <c r="AJ60" t="s">
        <v>147</v>
      </c>
      <c r="AK60" t="s">
        <v>148</v>
      </c>
      <c r="AL60" t="s">
        <v>247</v>
      </c>
      <c r="AM60" t="s">
        <v>140</v>
      </c>
      <c r="AQ60" t="s">
        <v>202</v>
      </c>
      <c r="AR60">
        <v>70</v>
      </c>
      <c r="AS60" t="s">
        <v>183</v>
      </c>
      <c r="BA60" t="s">
        <v>281</v>
      </c>
      <c r="BC60">
        <v>1</v>
      </c>
      <c r="BD60">
        <v>0</v>
      </c>
      <c r="BI60">
        <v>0</v>
      </c>
      <c r="BN60">
        <v>0</v>
      </c>
      <c r="BO60" t="s">
        <v>285</v>
      </c>
      <c r="BP60">
        <v>1</v>
      </c>
      <c r="BQ60" t="s">
        <v>280</v>
      </c>
      <c r="BR60">
        <v>1</v>
      </c>
      <c r="BV60">
        <v>0</v>
      </c>
      <c r="CE60" t="s">
        <v>140</v>
      </c>
      <c r="CN60" t="s">
        <v>164</v>
      </c>
      <c r="DV60">
        <v>0</v>
      </c>
      <c r="EA60">
        <v>26406</v>
      </c>
      <c r="EB60" t="s">
        <v>286</v>
      </c>
      <c r="EC60" t="s">
        <v>286</v>
      </c>
    </row>
    <row r="61" spans="1:133" hidden="1" x14ac:dyDescent="0.25">
      <c r="A61">
        <v>57</v>
      </c>
      <c r="B61">
        <v>26407</v>
      </c>
      <c r="C61" t="s">
        <v>279</v>
      </c>
      <c r="D61" t="s">
        <v>192</v>
      </c>
      <c r="E61" t="s">
        <v>287</v>
      </c>
      <c r="F61" t="s">
        <v>221</v>
      </c>
      <c r="G61" s="1">
        <v>2352</v>
      </c>
      <c r="H61" t="s">
        <v>156</v>
      </c>
      <c r="I61" t="s">
        <v>140</v>
      </c>
      <c r="K61" t="s">
        <v>288</v>
      </c>
      <c r="N61" t="s">
        <v>289</v>
      </c>
      <c r="O61">
        <v>2015</v>
      </c>
      <c r="P61" t="s">
        <v>227</v>
      </c>
      <c r="Q61">
        <v>4821</v>
      </c>
      <c r="R61">
        <v>419</v>
      </c>
      <c r="Z61">
        <v>6</v>
      </c>
      <c r="AA61" t="s">
        <v>144</v>
      </c>
      <c r="AF61" t="s">
        <v>140</v>
      </c>
      <c r="AG61" t="s">
        <v>290</v>
      </c>
      <c r="AH61" t="s">
        <v>140</v>
      </c>
      <c r="AI61" t="s">
        <v>291</v>
      </c>
      <c r="AJ61" t="s">
        <v>292</v>
      </c>
      <c r="AK61" t="s">
        <v>140</v>
      </c>
      <c r="AQ61" t="s">
        <v>202</v>
      </c>
      <c r="AR61">
        <v>70</v>
      </c>
      <c r="AS61" t="s">
        <v>183</v>
      </c>
      <c r="BA61" t="s">
        <v>287</v>
      </c>
      <c r="BC61">
        <v>1</v>
      </c>
      <c r="BD61">
        <v>0</v>
      </c>
      <c r="BE61" t="s">
        <v>293</v>
      </c>
      <c r="BI61">
        <v>1</v>
      </c>
      <c r="BN61">
        <v>0</v>
      </c>
      <c r="BO61" t="s">
        <v>294</v>
      </c>
      <c r="BP61">
        <v>1</v>
      </c>
      <c r="BQ61" t="s">
        <v>192</v>
      </c>
      <c r="BR61">
        <v>1</v>
      </c>
      <c r="BV61">
        <v>0</v>
      </c>
      <c r="CA61" t="s">
        <v>253</v>
      </c>
      <c r="CB61" t="s">
        <v>140</v>
      </c>
      <c r="CE61" t="s">
        <v>140</v>
      </c>
      <c r="CN61" t="s">
        <v>164</v>
      </c>
      <c r="CQ61">
        <v>0</v>
      </c>
      <c r="DV61">
        <v>0</v>
      </c>
      <c r="EA61">
        <v>26407</v>
      </c>
      <c r="EB61" t="s">
        <v>286</v>
      </c>
      <c r="EC61" t="s">
        <v>286</v>
      </c>
    </row>
    <row r="62" spans="1:133" hidden="1" x14ac:dyDescent="0.25">
      <c r="A62">
        <v>58</v>
      </c>
      <c r="B62">
        <v>26408</v>
      </c>
      <c r="C62" t="s">
        <v>279</v>
      </c>
      <c r="D62" t="s">
        <v>280</v>
      </c>
      <c r="E62" t="s">
        <v>281</v>
      </c>
      <c r="F62" t="s">
        <v>221</v>
      </c>
      <c r="G62" s="1">
        <v>13140</v>
      </c>
      <c r="H62" t="s">
        <v>156</v>
      </c>
      <c r="I62" t="s">
        <v>140</v>
      </c>
      <c r="N62" t="s">
        <v>282</v>
      </c>
      <c r="O62">
        <v>2013</v>
      </c>
      <c r="P62" t="s">
        <v>227</v>
      </c>
      <c r="Q62">
        <v>4822</v>
      </c>
      <c r="R62">
        <v>420</v>
      </c>
      <c r="AF62" t="s">
        <v>140</v>
      </c>
      <c r="AG62" t="s">
        <v>295</v>
      </c>
      <c r="AH62" t="s">
        <v>140</v>
      </c>
      <c r="AJ62" t="s">
        <v>147</v>
      </c>
      <c r="AK62" t="s">
        <v>148</v>
      </c>
      <c r="AL62" t="s">
        <v>170</v>
      </c>
      <c r="AM62" t="s">
        <v>140</v>
      </c>
      <c r="AQ62" t="s">
        <v>202</v>
      </c>
      <c r="AR62">
        <v>70</v>
      </c>
      <c r="AS62" t="s">
        <v>183</v>
      </c>
      <c r="BA62" t="s">
        <v>281</v>
      </c>
      <c r="BC62">
        <v>1</v>
      </c>
      <c r="BD62">
        <v>0</v>
      </c>
      <c r="BI62">
        <v>0</v>
      </c>
      <c r="BN62">
        <v>0</v>
      </c>
      <c r="BO62" t="s">
        <v>285</v>
      </c>
      <c r="BP62">
        <v>1</v>
      </c>
      <c r="BQ62" t="s">
        <v>280</v>
      </c>
      <c r="BR62">
        <v>1</v>
      </c>
      <c r="BV62">
        <v>0</v>
      </c>
      <c r="CE62" t="s">
        <v>140</v>
      </c>
      <c r="CN62" t="s">
        <v>164</v>
      </c>
      <c r="DV62">
        <v>0</v>
      </c>
      <c r="EA62">
        <v>26408</v>
      </c>
      <c r="EB62" t="s">
        <v>296</v>
      </c>
      <c r="EC62" t="s">
        <v>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6"/>
  <sheetViews>
    <sheetView zoomScale="115" zoomScaleNormal="115" workbookViewId="0">
      <selection activeCell="M1" sqref="M1:R116"/>
    </sheetView>
  </sheetViews>
  <sheetFormatPr defaultRowHeight="15" x14ac:dyDescent="0.25"/>
  <cols>
    <col min="1" max="1" width="12" bestFit="1" customWidth="1"/>
    <col min="8" max="8" width="17.5703125" bestFit="1" customWidth="1"/>
    <col min="9" max="9" width="13.140625" bestFit="1" customWidth="1"/>
    <col min="13" max="13" width="23.42578125" bestFit="1" customWidth="1"/>
    <col min="14" max="14" width="12" style="4" bestFit="1" customWidth="1"/>
    <col min="15" max="17" width="9.140625" style="4"/>
    <col min="18" max="18" width="13.7109375" bestFit="1" customWidth="1"/>
    <col min="19" max="19" width="14.140625" bestFit="1" customWidth="1"/>
    <col min="22" max="22" width="14" customWidth="1"/>
  </cols>
  <sheetData>
    <row r="1" spans="1:23" x14ac:dyDescent="0.25">
      <c r="A1">
        <f>0.313/22.4</f>
        <v>1.3973214285714287E-2</v>
      </c>
      <c r="B1" t="s">
        <v>298</v>
      </c>
      <c r="M1" s="3" t="s">
        <v>327</v>
      </c>
      <c r="N1" s="3" t="s">
        <v>326</v>
      </c>
      <c r="O1" s="3" t="s">
        <v>328</v>
      </c>
      <c r="P1" s="3" t="s">
        <v>330</v>
      </c>
      <c r="Q1" s="3" t="s">
        <v>331</v>
      </c>
      <c r="R1" s="3" t="s">
        <v>349</v>
      </c>
      <c r="S1" s="3"/>
    </row>
    <row r="2" spans="1:23" x14ac:dyDescent="0.25">
      <c r="A2">
        <f>A1*D2</f>
        <v>13.973214285714286</v>
      </c>
      <c r="B2" t="s">
        <v>301</v>
      </c>
      <c r="D2">
        <v>1000</v>
      </c>
      <c r="E2" t="s">
        <v>300</v>
      </c>
      <c r="H2" t="s">
        <v>82</v>
      </c>
      <c r="I2">
        <v>22.2</v>
      </c>
      <c r="J2" t="s">
        <v>304</v>
      </c>
      <c r="M2" t="s">
        <v>315</v>
      </c>
      <c r="N2" s="4" t="s">
        <v>316</v>
      </c>
      <c r="R2">
        <f>347.4</f>
        <v>347.4</v>
      </c>
    </row>
    <row r="3" spans="1:23" x14ac:dyDescent="0.25">
      <c r="A3">
        <f>A2/D5</f>
        <v>0.58221726190476197</v>
      </c>
      <c r="D3">
        <v>1</v>
      </c>
      <c r="E3" t="s">
        <v>299</v>
      </c>
      <c r="H3" t="s">
        <v>305</v>
      </c>
      <c r="I3">
        <v>364.06</v>
      </c>
      <c r="J3" t="s">
        <v>306</v>
      </c>
      <c r="M3" t="s">
        <v>317</v>
      </c>
      <c r="N3" s="4" t="s">
        <v>318</v>
      </c>
      <c r="O3" s="4" t="s">
        <v>329</v>
      </c>
      <c r="P3" s="4" t="s">
        <v>255</v>
      </c>
      <c r="Q3" s="4" t="s">
        <v>332</v>
      </c>
      <c r="R3">
        <v>7.0000000000000007E-2</v>
      </c>
    </row>
    <row r="4" spans="1:23" x14ac:dyDescent="0.25">
      <c r="D4">
        <v>1</v>
      </c>
      <c r="E4" t="s">
        <v>302</v>
      </c>
      <c r="I4">
        <f>0.000001</f>
        <v>9.9999999999999995E-7</v>
      </c>
      <c r="J4" t="s">
        <v>310</v>
      </c>
      <c r="O4" s="4" t="s">
        <v>329</v>
      </c>
      <c r="P4" s="4" t="s">
        <v>255</v>
      </c>
      <c r="Q4" s="4" t="s">
        <v>332</v>
      </c>
    </row>
    <row r="5" spans="1:23" x14ac:dyDescent="0.25">
      <c r="D5">
        <v>24</v>
      </c>
      <c r="E5" t="s">
        <v>303</v>
      </c>
      <c r="I5">
        <f>0.001</f>
        <v>1E-3</v>
      </c>
      <c r="J5" t="s">
        <v>307</v>
      </c>
      <c r="M5" t="s">
        <v>315</v>
      </c>
      <c r="N5" s="4" t="s">
        <v>319</v>
      </c>
      <c r="O5" s="4" t="s">
        <v>329</v>
      </c>
      <c r="P5" s="4" t="s">
        <v>255</v>
      </c>
      <c r="Q5" s="4" t="s">
        <v>332</v>
      </c>
      <c r="R5">
        <f>R2*$I$6</f>
        <v>0.34739999999999999</v>
      </c>
    </row>
    <row r="6" spans="1:23" x14ac:dyDescent="0.25">
      <c r="I6">
        <f>0.001</f>
        <v>1E-3</v>
      </c>
      <c r="J6" t="s">
        <v>308</v>
      </c>
      <c r="O6" s="4" t="s">
        <v>329</v>
      </c>
      <c r="P6" s="4" t="s">
        <v>255</v>
      </c>
      <c r="Q6" s="4" t="s">
        <v>332</v>
      </c>
    </row>
    <row r="7" spans="1:23" x14ac:dyDescent="0.25">
      <c r="I7">
        <f>1/24</f>
        <v>4.1666666666666664E-2</v>
      </c>
      <c r="J7" t="s">
        <v>309</v>
      </c>
      <c r="M7" t="s">
        <v>322</v>
      </c>
      <c r="O7" s="4" t="s">
        <v>329</v>
      </c>
      <c r="P7" s="4" t="s">
        <v>255</v>
      </c>
      <c r="Q7" s="4" t="s">
        <v>332</v>
      </c>
      <c r="R7" t="s">
        <v>321</v>
      </c>
      <c r="V7" t="s">
        <v>335</v>
      </c>
      <c r="W7">
        <f>LN(2)/(3.14*365)</f>
        <v>6.0478769789716884E-4</v>
      </c>
    </row>
    <row r="8" spans="1:23" x14ac:dyDescent="0.25">
      <c r="H8" t="s">
        <v>82</v>
      </c>
      <c r="I8">
        <f>I2*I3*I4*I6*I7</f>
        <v>3.3675549999999993E-7</v>
      </c>
      <c r="J8" t="s">
        <v>313</v>
      </c>
      <c r="M8" t="s">
        <v>320</v>
      </c>
      <c r="N8" s="4" t="s">
        <v>323</v>
      </c>
      <c r="O8" s="4" t="s">
        <v>329</v>
      </c>
      <c r="P8" s="4" t="s">
        <v>255</v>
      </c>
      <c r="Q8" s="4" t="s">
        <v>332</v>
      </c>
      <c r="R8">
        <f>R5/R3</f>
        <v>4.9628571428571426</v>
      </c>
      <c r="V8" t="e" cm="1">
        <f t="array" ref="V8">exp^(-W7*2555)</f>
        <v>#NAME?</v>
      </c>
    </row>
    <row r="9" spans="1:23" x14ac:dyDescent="0.25">
      <c r="H9" t="s">
        <v>311</v>
      </c>
      <c r="M9" t="s">
        <v>324</v>
      </c>
      <c r="N9" s="4" t="s">
        <v>302</v>
      </c>
      <c r="O9" s="4" t="s">
        <v>329</v>
      </c>
      <c r="P9" s="4" t="s">
        <v>255</v>
      </c>
      <c r="Q9" s="4" t="s">
        <v>332</v>
      </c>
      <c r="R9" t="s">
        <v>325</v>
      </c>
      <c r="V9" t="s">
        <v>336</v>
      </c>
      <c r="W9">
        <v>0.216</v>
      </c>
    </row>
    <row r="10" spans="1:23" x14ac:dyDescent="0.25">
      <c r="H10" t="s">
        <v>312</v>
      </c>
      <c r="I10">
        <v>0.313</v>
      </c>
      <c r="J10" t="s">
        <v>184</v>
      </c>
      <c r="M10" t="s">
        <v>337</v>
      </c>
      <c r="N10" s="4" t="s">
        <v>302</v>
      </c>
      <c r="O10" s="4" t="s">
        <v>329</v>
      </c>
      <c r="P10" s="4" t="s">
        <v>255</v>
      </c>
      <c r="Q10" s="4" t="s">
        <v>332</v>
      </c>
      <c r="R10">
        <f>LN(2)/R8</f>
        <v>0.13966696211628143</v>
      </c>
      <c r="V10">
        <f>W9*1.6</f>
        <v>0.34560000000000002</v>
      </c>
    </row>
    <row r="11" spans="1:23" x14ac:dyDescent="0.25">
      <c r="H11" t="s">
        <v>174</v>
      </c>
      <c r="I11">
        <f>I10/I8</f>
        <v>929457.72229406808</v>
      </c>
      <c r="J11" t="s">
        <v>314</v>
      </c>
      <c r="M11" t="s">
        <v>338</v>
      </c>
      <c r="N11" s="4" t="s">
        <v>303</v>
      </c>
      <c r="O11" s="4" t="s">
        <v>329</v>
      </c>
      <c r="P11" s="4" t="s">
        <v>255</v>
      </c>
      <c r="Q11" s="4" t="s">
        <v>332</v>
      </c>
      <c r="R11">
        <f>R10*24</f>
        <v>3.3520070907907544</v>
      </c>
    </row>
    <row r="12" spans="1:23" x14ac:dyDescent="0.25">
      <c r="V12">
        <f>1.28*(1-0.216)</f>
        <v>1.00352</v>
      </c>
    </row>
    <row r="13" spans="1:23" x14ac:dyDescent="0.25">
      <c r="M13" t="s">
        <v>341</v>
      </c>
      <c r="N13" s="4" t="s">
        <v>316</v>
      </c>
      <c r="O13" s="4" t="s">
        <v>329</v>
      </c>
      <c r="P13" s="4" t="s">
        <v>255</v>
      </c>
      <c r="Q13" s="4" t="s">
        <v>333</v>
      </c>
      <c r="R13">
        <v>256.7</v>
      </c>
    </row>
    <row r="14" spans="1:23" x14ac:dyDescent="0.25">
      <c r="M14" t="s">
        <v>339</v>
      </c>
      <c r="N14" s="4" t="s">
        <v>318</v>
      </c>
      <c r="O14" s="4" t="s">
        <v>329</v>
      </c>
      <c r="P14" s="4" t="s">
        <v>255</v>
      </c>
      <c r="Q14" s="4" t="s">
        <v>333</v>
      </c>
      <c r="R14">
        <v>0.08</v>
      </c>
    </row>
    <row r="15" spans="1:23" x14ac:dyDescent="0.25">
      <c r="M15" t="s">
        <v>340</v>
      </c>
      <c r="N15" s="4" t="s">
        <v>319</v>
      </c>
      <c r="O15" s="4" t="s">
        <v>329</v>
      </c>
      <c r="P15" s="4" t="s">
        <v>255</v>
      </c>
      <c r="Q15" s="4" t="s">
        <v>333</v>
      </c>
      <c r="R15">
        <f>R13*$I$6</f>
        <v>0.25669999999999998</v>
      </c>
    </row>
    <row r="16" spans="1:23" x14ac:dyDescent="0.25">
      <c r="M16" t="s">
        <v>342</v>
      </c>
      <c r="N16" s="4" t="s">
        <v>323</v>
      </c>
      <c r="O16" s="4" t="s">
        <v>329</v>
      </c>
      <c r="P16" s="4" t="s">
        <v>255</v>
      </c>
      <c r="Q16" s="4" t="s">
        <v>333</v>
      </c>
      <c r="R16">
        <f>R15/R14</f>
        <v>3.2087499999999998</v>
      </c>
      <c r="W16">
        <f>(0.901-1/2555)*0.43</f>
        <v>0.38726170254403131</v>
      </c>
    </row>
    <row r="17" spans="13:23" x14ac:dyDescent="0.25">
      <c r="M17" t="s">
        <v>337</v>
      </c>
      <c r="N17" s="4" t="s">
        <v>302</v>
      </c>
      <c r="O17" s="4" t="s">
        <v>329</v>
      </c>
      <c r="P17" s="4" t="s">
        <v>255</v>
      </c>
      <c r="Q17" s="4" t="s">
        <v>333</v>
      </c>
      <c r="R17">
        <f>LN(2)/R16</f>
        <v>0.21601782019787935</v>
      </c>
    </row>
    <row r="18" spans="13:23" x14ac:dyDescent="0.25">
      <c r="M18" t="s">
        <v>338</v>
      </c>
      <c r="N18" s="4" t="s">
        <v>303</v>
      </c>
      <c r="O18" s="4" t="s">
        <v>329</v>
      </c>
      <c r="P18" s="4" t="s">
        <v>255</v>
      </c>
      <c r="Q18" s="4" t="s">
        <v>333</v>
      </c>
      <c r="R18">
        <f>R17*24</f>
        <v>5.1844276847491049</v>
      </c>
      <c r="W18">
        <f>(W16*70)/2</f>
        <v>13.554159589041095</v>
      </c>
    </row>
    <row r="20" spans="13:23" x14ac:dyDescent="0.25">
      <c r="M20" t="s">
        <v>341</v>
      </c>
      <c r="N20" s="4" t="s">
        <v>316</v>
      </c>
      <c r="O20" s="4" t="s">
        <v>334</v>
      </c>
      <c r="P20" s="4" t="s">
        <v>255</v>
      </c>
      <c r="Q20" s="4" t="s">
        <v>332</v>
      </c>
      <c r="R20">
        <v>14.2</v>
      </c>
    </row>
    <row r="21" spans="13:23" x14ac:dyDescent="0.25">
      <c r="M21" t="s">
        <v>339</v>
      </c>
      <c r="N21" s="4" t="s">
        <v>318</v>
      </c>
      <c r="O21" s="4" t="s">
        <v>334</v>
      </c>
      <c r="P21" s="4" t="s">
        <v>255</v>
      </c>
      <c r="Q21" s="4" t="s">
        <v>332</v>
      </c>
      <c r="R21">
        <v>0.22</v>
      </c>
    </row>
    <row r="22" spans="13:23" x14ac:dyDescent="0.25">
      <c r="M22" t="s">
        <v>340</v>
      </c>
      <c r="N22" s="4" t="s">
        <v>319</v>
      </c>
      <c r="O22" s="4" t="s">
        <v>334</v>
      </c>
      <c r="P22" s="4" t="s">
        <v>255</v>
      </c>
      <c r="Q22" s="4" t="s">
        <v>332</v>
      </c>
      <c r="R22">
        <f>R20*$I$6</f>
        <v>1.4199999999999999E-2</v>
      </c>
    </row>
    <row r="23" spans="13:23" x14ac:dyDescent="0.25">
      <c r="M23" t="s">
        <v>342</v>
      </c>
      <c r="N23" s="4" t="s">
        <v>323</v>
      </c>
      <c r="O23" s="4" t="s">
        <v>334</v>
      </c>
      <c r="P23" s="4" t="s">
        <v>255</v>
      </c>
      <c r="Q23" s="4" t="s">
        <v>332</v>
      </c>
      <c r="R23">
        <f>R22/R21</f>
        <v>6.4545454545454545E-2</v>
      </c>
    </row>
    <row r="24" spans="13:23" x14ac:dyDescent="0.25">
      <c r="M24" t="s">
        <v>337</v>
      </c>
      <c r="N24" s="4" t="s">
        <v>302</v>
      </c>
      <c r="O24" s="4" t="s">
        <v>334</v>
      </c>
      <c r="P24" s="4" t="s">
        <v>255</v>
      </c>
      <c r="Q24" s="4" t="s">
        <v>332</v>
      </c>
      <c r="R24">
        <f>LN(2)/R23</f>
        <v>10.738899980506195</v>
      </c>
    </row>
    <row r="25" spans="13:23" x14ac:dyDescent="0.25">
      <c r="M25" t="s">
        <v>338</v>
      </c>
      <c r="N25" s="4" t="s">
        <v>303</v>
      </c>
      <c r="O25" s="4" t="s">
        <v>334</v>
      </c>
      <c r="P25" s="4" t="s">
        <v>255</v>
      </c>
      <c r="Q25" s="4" t="s">
        <v>332</v>
      </c>
      <c r="R25">
        <f>R24*24</f>
        <v>257.73359953214867</v>
      </c>
    </row>
    <row r="27" spans="13:23" x14ac:dyDescent="0.25">
      <c r="M27" t="s">
        <v>341</v>
      </c>
      <c r="N27" s="4" t="s">
        <v>316</v>
      </c>
      <c r="O27" s="4" t="s">
        <v>334</v>
      </c>
      <c r="P27" s="4" t="s">
        <v>255</v>
      </c>
      <c r="Q27" s="4" t="s">
        <v>333</v>
      </c>
      <c r="R27">
        <v>11.8</v>
      </c>
    </row>
    <row r="28" spans="13:23" x14ac:dyDescent="0.25">
      <c r="M28" t="s">
        <v>339</v>
      </c>
      <c r="N28" s="4" t="s">
        <v>318</v>
      </c>
      <c r="O28" s="4" t="s">
        <v>334</v>
      </c>
      <c r="P28" s="4" t="s">
        <v>255</v>
      </c>
      <c r="Q28" s="4" t="s">
        <v>333</v>
      </c>
      <c r="R28">
        <v>0.22</v>
      </c>
    </row>
    <row r="29" spans="13:23" x14ac:dyDescent="0.25">
      <c r="M29" t="s">
        <v>340</v>
      </c>
      <c r="N29" s="4" t="s">
        <v>319</v>
      </c>
      <c r="O29" s="4" t="s">
        <v>334</v>
      </c>
      <c r="P29" s="4" t="s">
        <v>255</v>
      </c>
      <c r="Q29" s="4" t="s">
        <v>333</v>
      </c>
      <c r="R29">
        <f>R27*$I$6</f>
        <v>1.1800000000000001E-2</v>
      </c>
    </row>
    <row r="30" spans="13:23" x14ac:dyDescent="0.25">
      <c r="M30" t="s">
        <v>342</v>
      </c>
      <c r="N30" s="4" t="s">
        <v>323</v>
      </c>
      <c r="O30" s="4" t="s">
        <v>334</v>
      </c>
      <c r="P30" s="4" t="s">
        <v>255</v>
      </c>
      <c r="Q30" s="4" t="s">
        <v>333</v>
      </c>
      <c r="R30">
        <f>R29/R28</f>
        <v>5.3636363636363642E-2</v>
      </c>
    </row>
    <row r="31" spans="13:23" x14ac:dyDescent="0.25">
      <c r="M31" t="s">
        <v>337</v>
      </c>
      <c r="N31" s="4" t="s">
        <v>302</v>
      </c>
      <c r="O31" s="4" t="s">
        <v>334</v>
      </c>
      <c r="P31" s="4" t="s">
        <v>255</v>
      </c>
      <c r="Q31" s="4" t="s">
        <v>333</v>
      </c>
      <c r="R31">
        <f>LN(2)/R30</f>
        <v>12.92308302738881</v>
      </c>
    </row>
    <row r="32" spans="13:23" x14ac:dyDescent="0.25">
      <c r="M32" t="s">
        <v>338</v>
      </c>
      <c r="N32" s="4" t="s">
        <v>303</v>
      </c>
      <c r="O32" s="4" t="s">
        <v>334</v>
      </c>
      <c r="P32" s="4" t="s">
        <v>255</v>
      </c>
      <c r="Q32" s="4" t="s">
        <v>333</v>
      </c>
      <c r="R32">
        <f>R31*24</f>
        <v>310.1539926573314</v>
      </c>
    </row>
    <row r="34" spans="13:18" x14ac:dyDescent="0.25">
      <c r="M34" t="s">
        <v>341</v>
      </c>
      <c r="N34" s="4" t="s">
        <v>316</v>
      </c>
      <c r="O34" s="4" t="s">
        <v>343</v>
      </c>
      <c r="P34" s="4" t="s">
        <v>255</v>
      </c>
      <c r="Q34" s="4" t="s">
        <v>332</v>
      </c>
      <c r="R34">
        <v>3.9</v>
      </c>
    </row>
    <row r="35" spans="13:18" x14ac:dyDescent="0.25">
      <c r="M35" t="s">
        <v>339</v>
      </c>
      <c r="N35" s="4" t="s">
        <v>318</v>
      </c>
      <c r="O35" s="4" t="s">
        <v>343</v>
      </c>
      <c r="P35" s="4" t="s">
        <v>255</v>
      </c>
      <c r="Q35" s="4" t="s">
        <v>332</v>
      </c>
      <c r="R35">
        <v>0.22</v>
      </c>
    </row>
    <row r="36" spans="13:18" x14ac:dyDescent="0.25">
      <c r="M36" t="s">
        <v>340</v>
      </c>
      <c r="N36" s="4" t="s">
        <v>319</v>
      </c>
      <c r="O36" s="4" t="s">
        <v>343</v>
      </c>
      <c r="P36" s="4" t="s">
        <v>255</v>
      </c>
      <c r="Q36" s="4" t="s">
        <v>332</v>
      </c>
      <c r="R36">
        <f>R34*$I$6</f>
        <v>3.8999999999999998E-3</v>
      </c>
    </row>
    <row r="37" spans="13:18" x14ac:dyDescent="0.25">
      <c r="M37" t="s">
        <v>342</v>
      </c>
      <c r="N37" s="4" t="s">
        <v>323</v>
      </c>
      <c r="O37" s="4" t="s">
        <v>343</v>
      </c>
      <c r="P37" s="4" t="s">
        <v>255</v>
      </c>
      <c r="Q37" s="4" t="s">
        <v>332</v>
      </c>
      <c r="R37">
        <f>R36/R35</f>
        <v>1.7727272727272727E-2</v>
      </c>
    </row>
    <row r="38" spans="13:18" x14ac:dyDescent="0.25">
      <c r="M38" t="s">
        <v>337</v>
      </c>
      <c r="N38" s="4" t="s">
        <v>302</v>
      </c>
      <c r="O38" s="4" t="s">
        <v>343</v>
      </c>
      <c r="P38" s="4" t="s">
        <v>255</v>
      </c>
      <c r="Q38" s="4" t="s">
        <v>332</v>
      </c>
      <c r="R38">
        <f>LN(2)/R37</f>
        <v>39.100610185432814</v>
      </c>
    </row>
    <row r="39" spans="13:18" x14ac:dyDescent="0.25">
      <c r="M39" t="s">
        <v>338</v>
      </c>
      <c r="N39" s="4" t="s">
        <v>303</v>
      </c>
      <c r="O39" s="4" t="s">
        <v>343</v>
      </c>
      <c r="P39" s="4" t="s">
        <v>255</v>
      </c>
      <c r="Q39" s="4" t="s">
        <v>332</v>
      </c>
      <c r="R39">
        <f>R38*24</f>
        <v>938.41464445038753</v>
      </c>
    </row>
    <row r="41" spans="13:18" x14ac:dyDescent="0.25">
      <c r="M41" t="s">
        <v>341</v>
      </c>
      <c r="N41" s="4" t="s">
        <v>316</v>
      </c>
      <c r="O41" s="4" t="s">
        <v>343</v>
      </c>
      <c r="P41" s="4" t="s">
        <v>255</v>
      </c>
      <c r="Q41" s="4" t="s">
        <v>333</v>
      </c>
      <c r="R41">
        <v>5.0999999999999996</v>
      </c>
    </row>
    <row r="42" spans="13:18" x14ac:dyDescent="0.25">
      <c r="M42" t="s">
        <v>339</v>
      </c>
      <c r="N42" s="4" t="s">
        <v>318</v>
      </c>
      <c r="O42" s="4" t="s">
        <v>343</v>
      </c>
      <c r="P42" s="4" t="s">
        <v>255</v>
      </c>
      <c r="Q42" s="4" t="s">
        <v>333</v>
      </c>
      <c r="R42">
        <v>0.15</v>
      </c>
    </row>
    <row r="43" spans="13:18" x14ac:dyDescent="0.25">
      <c r="M43" t="s">
        <v>340</v>
      </c>
      <c r="N43" s="4" t="s">
        <v>319</v>
      </c>
      <c r="O43" s="4" t="s">
        <v>343</v>
      </c>
      <c r="P43" s="4" t="s">
        <v>255</v>
      </c>
      <c r="Q43" s="4" t="s">
        <v>333</v>
      </c>
      <c r="R43">
        <f>R41*$I$6</f>
        <v>5.0999999999999995E-3</v>
      </c>
    </row>
    <row r="44" spans="13:18" x14ac:dyDescent="0.25">
      <c r="M44" t="s">
        <v>342</v>
      </c>
      <c r="N44" s="4" t="s">
        <v>323</v>
      </c>
      <c r="O44" s="4" t="s">
        <v>343</v>
      </c>
      <c r="P44" s="4" t="s">
        <v>255</v>
      </c>
      <c r="Q44" s="4" t="s">
        <v>333</v>
      </c>
      <c r="R44">
        <f>R43/R42</f>
        <v>3.3999999999999996E-2</v>
      </c>
    </row>
    <row r="45" spans="13:18" x14ac:dyDescent="0.25">
      <c r="M45" t="s">
        <v>337</v>
      </c>
      <c r="N45" s="4" t="s">
        <v>302</v>
      </c>
      <c r="O45" s="4" t="s">
        <v>343</v>
      </c>
      <c r="P45" s="4" t="s">
        <v>255</v>
      </c>
      <c r="Q45" s="4" t="s">
        <v>333</v>
      </c>
      <c r="R45">
        <f>LN(2)/R44</f>
        <v>20.386681781174865</v>
      </c>
    </row>
    <row r="46" spans="13:18" x14ac:dyDescent="0.25">
      <c r="M46" t="s">
        <v>338</v>
      </c>
      <c r="N46" s="4" t="s">
        <v>303</v>
      </c>
      <c r="O46" s="4" t="s">
        <v>343</v>
      </c>
      <c r="P46" s="4" t="s">
        <v>255</v>
      </c>
      <c r="Q46" s="4" t="s">
        <v>333</v>
      </c>
      <c r="R46">
        <f>R45*24</f>
        <v>489.28036274819675</v>
      </c>
    </row>
    <row r="48" spans="13:18" x14ac:dyDescent="0.25">
      <c r="M48" t="s">
        <v>341</v>
      </c>
      <c r="N48" s="4" t="s">
        <v>316</v>
      </c>
      <c r="O48" s="4" t="s">
        <v>344</v>
      </c>
      <c r="P48" s="4" t="s">
        <v>255</v>
      </c>
      <c r="Q48" s="4" t="s">
        <v>332</v>
      </c>
      <c r="R48">
        <v>2.2000000000000002</v>
      </c>
    </row>
    <row r="49" spans="13:18" x14ac:dyDescent="0.25">
      <c r="M49" t="s">
        <v>339</v>
      </c>
      <c r="N49" s="4" t="s">
        <v>318</v>
      </c>
      <c r="O49" s="4" t="s">
        <v>344</v>
      </c>
      <c r="P49" s="4" t="s">
        <v>255</v>
      </c>
      <c r="Q49" s="4" t="s">
        <v>332</v>
      </c>
      <c r="R49">
        <v>0.25</v>
      </c>
    </row>
    <row r="50" spans="13:18" x14ac:dyDescent="0.25">
      <c r="M50" t="s">
        <v>340</v>
      </c>
      <c r="N50" s="4" t="s">
        <v>319</v>
      </c>
      <c r="O50" s="4" t="s">
        <v>344</v>
      </c>
      <c r="P50" s="4" t="s">
        <v>255</v>
      </c>
      <c r="Q50" s="4" t="s">
        <v>332</v>
      </c>
      <c r="R50">
        <f>R48*$I$6</f>
        <v>2.2000000000000001E-3</v>
      </c>
    </row>
    <row r="51" spans="13:18" x14ac:dyDescent="0.25">
      <c r="M51" t="s">
        <v>342</v>
      </c>
      <c r="N51" s="4" t="s">
        <v>323</v>
      </c>
      <c r="O51" s="4" t="s">
        <v>344</v>
      </c>
      <c r="P51" s="4" t="s">
        <v>255</v>
      </c>
      <c r="Q51" s="4" t="s">
        <v>332</v>
      </c>
      <c r="R51">
        <f>R50/R49</f>
        <v>8.8000000000000005E-3</v>
      </c>
    </row>
    <row r="52" spans="13:18" x14ac:dyDescent="0.25">
      <c r="M52" t="s">
        <v>337</v>
      </c>
      <c r="N52" s="4" t="s">
        <v>302</v>
      </c>
      <c r="O52" s="4" t="s">
        <v>344</v>
      </c>
      <c r="P52" s="4" t="s">
        <v>255</v>
      </c>
      <c r="Q52" s="4" t="s">
        <v>332</v>
      </c>
      <c r="R52">
        <f>LN(2)/R51</f>
        <v>78.766725063630147</v>
      </c>
    </row>
    <row r="53" spans="13:18" x14ac:dyDescent="0.25">
      <c r="M53" t="s">
        <v>338</v>
      </c>
      <c r="N53" s="4" t="s">
        <v>303</v>
      </c>
      <c r="O53" s="4" t="s">
        <v>344</v>
      </c>
      <c r="P53" s="4" t="s">
        <v>255</v>
      </c>
      <c r="Q53" s="4" t="s">
        <v>332</v>
      </c>
      <c r="R53">
        <f>R52*24</f>
        <v>1890.4014015271237</v>
      </c>
    </row>
    <row r="55" spans="13:18" x14ac:dyDescent="0.25">
      <c r="M55" t="s">
        <v>341</v>
      </c>
      <c r="N55" s="4" t="s">
        <v>316</v>
      </c>
      <c r="O55" s="4" t="s">
        <v>344</v>
      </c>
      <c r="P55" s="4" t="s">
        <v>255</v>
      </c>
      <c r="Q55" s="4" t="s">
        <v>333</v>
      </c>
      <c r="R55">
        <v>2.8</v>
      </c>
    </row>
    <row r="56" spans="13:18" x14ac:dyDescent="0.25">
      <c r="M56" t="s">
        <v>339</v>
      </c>
      <c r="N56" s="4" t="s">
        <v>318</v>
      </c>
      <c r="O56" s="4" t="s">
        <v>344</v>
      </c>
      <c r="P56" s="4" t="s">
        <v>255</v>
      </c>
      <c r="Q56" s="4" t="s">
        <v>333</v>
      </c>
      <c r="R56">
        <v>0.2</v>
      </c>
    </row>
    <row r="57" spans="13:18" x14ac:dyDescent="0.25">
      <c r="M57" t="s">
        <v>340</v>
      </c>
      <c r="N57" s="4" t="s">
        <v>319</v>
      </c>
      <c r="O57" s="4" t="s">
        <v>344</v>
      </c>
      <c r="P57" s="4" t="s">
        <v>255</v>
      </c>
      <c r="Q57" s="4" t="s">
        <v>333</v>
      </c>
      <c r="R57">
        <f>R55*$I$6</f>
        <v>2.8E-3</v>
      </c>
    </row>
    <row r="58" spans="13:18" x14ac:dyDescent="0.25">
      <c r="M58" t="s">
        <v>342</v>
      </c>
      <c r="N58" s="4" t="s">
        <v>323</v>
      </c>
      <c r="O58" s="4" t="s">
        <v>344</v>
      </c>
      <c r="P58" s="4" t="s">
        <v>255</v>
      </c>
      <c r="Q58" s="4" t="s">
        <v>333</v>
      </c>
      <c r="R58">
        <f>R57/R56</f>
        <v>1.3999999999999999E-2</v>
      </c>
    </row>
    <row r="59" spans="13:18" x14ac:dyDescent="0.25">
      <c r="M59" t="s">
        <v>337</v>
      </c>
      <c r="N59" s="4" t="s">
        <v>302</v>
      </c>
      <c r="O59" s="4" t="s">
        <v>344</v>
      </c>
      <c r="P59" s="4" t="s">
        <v>255</v>
      </c>
      <c r="Q59" s="4" t="s">
        <v>333</v>
      </c>
      <c r="R59">
        <f>LN(2)/R58</f>
        <v>49.510512897138952</v>
      </c>
    </row>
    <row r="60" spans="13:18" x14ac:dyDescent="0.25">
      <c r="M60" t="s">
        <v>338</v>
      </c>
      <c r="N60" s="4" t="s">
        <v>303</v>
      </c>
      <c r="O60" s="4" t="s">
        <v>344</v>
      </c>
      <c r="P60" s="4" t="s">
        <v>255</v>
      </c>
      <c r="Q60" s="4" t="s">
        <v>333</v>
      </c>
      <c r="R60">
        <f>R59*24</f>
        <v>1188.252309531335</v>
      </c>
    </row>
    <row r="62" spans="13:18" x14ac:dyDescent="0.25">
      <c r="M62" t="s">
        <v>341</v>
      </c>
      <c r="N62" s="4" t="s">
        <v>316</v>
      </c>
      <c r="O62" s="4" t="s">
        <v>345</v>
      </c>
      <c r="P62" s="4" t="s">
        <v>255</v>
      </c>
      <c r="Q62" s="4" t="s">
        <v>332</v>
      </c>
      <c r="R62">
        <v>2.8</v>
      </c>
    </row>
    <row r="63" spans="13:18" x14ac:dyDescent="0.25">
      <c r="M63" t="s">
        <v>339</v>
      </c>
      <c r="N63" s="4" t="s">
        <v>318</v>
      </c>
      <c r="O63" s="4" t="s">
        <v>345</v>
      </c>
      <c r="P63" s="4" t="s">
        <v>255</v>
      </c>
      <c r="Q63" s="4" t="s">
        <v>332</v>
      </c>
      <c r="R63">
        <v>0.33</v>
      </c>
    </row>
    <row r="64" spans="13:18" x14ac:dyDescent="0.25">
      <c r="M64" t="s">
        <v>340</v>
      </c>
      <c r="N64" s="4" t="s">
        <v>319</v>
      </c>
      <c r="O64" s="4" t="s">
        <v>345</v>
      </c>
      <c r="P64" s="4" t="s">
        <v>255</v>
      </c>
      <c r="Q64" s="4" t="s">
        <v>332</v>
      </c>
      <c r="R64">
        <f>R62*$I$6</f>
        <v>2.8E-3</v>
      </c>
    </row>
    <row r="65" spans="13:18" x14ac:dyDescent="0.25">
      <c r="M65" t="s">
        <v>342</v>
      </c>
      <c r="N65" s="4" t="s">
        <v>323</v>
      </c>
      <c r="O65" s="4" t="s">
        <v>345</v>
      </c>
      <c r="P65" s="4" t="s">
        <v>255</v>
      </c>
      <c r="Q65" s="4" t="s">
        <v>332</v>
      </c>
      <c r="R65">
        <f>R64/R63</f>
        <v>8.484848484848484E-3</v>
      </c>
    </row>
    <row r="66" spans="13:18" x14ac:dyDescent="0.25">
      <c r="M66" t="s">
        <v>337</v>
      </c>
      <c r="N66" s="4" t="s">
        <v>302</v>
      </c>
      <c r="O66" s="4" t="s">
        <v>345</v>
      </c>
      <c r="P66" s="4" t="s">
        <v>255</v>
      </c>
      <c r="Q66" s="4" t="s">
        <v>332</v>
      </c>
      <c r="R66">
        <f>LN(2)/R65</f>
        <v>81.692346280279281</v>
      </c>
    </row>
    <row r="67" spans="13:18" x14ac:dyDescent="0.25">
      <c r="M67" t="s">
        <v>338</v>
      </c>
      <c r="N67" s="4" t="s">
        <v>303</v>
      </c>
      <c r="O67" s="4" t="s">
        <v>345</v>
      </c>
      <c r="P67" s="4" t="s">
        <v>255</v>
      </c>
      <c r="Q67" s="4" t="s">
        <v>332</v>
      </c>
      <c r="R67">
        <f>R66*24</f>
        <v>1960.6163107267027</v>
      </c>
    </row>
    <row r="69" spans="13:18" x14ac:dyDescent="0.25">
      <c r="M69" t="s">
        <v>341</v>
      </c>
      <c r="N69" s="4" t="s">
        <v>316</v>
      </c>
      <c r="O69" s="4" t="s">
        <v>345</v>
      </c>
      <c r="P69" s="4" t="s">
        <v>255</v>
      </c>
      <c r="Q69" s="4" t="s">
        <v>333</v>
      </c>
      <c r="R69">
        <v>3.4</v>
      </c>
    </row>
    <row r="70" spans="13:18" x14ac:dyDescent="0.25">
      <c r="M70" t="s">
        <v>339</v>
      </c>
      <c r="N70" s="4" t="s">
        <v>318</v>
      </c>
      <c r="O70" s="4" t="s">
        <v>345</v>
      </c>
      <c r="P70" s="4" t="s">
        <v>255</v>
      </c>
      <c r="Q70" s="4" t="s">
        <v>333</v>
      </c>
      <c r="R70">
        <v>0.28000000000000003</v>
      </c>
    </row>
    <row r="71" spans="13:18" x14ac:dyDescent="0.25">
      <c r="M71" t="s">
        <v>340</v>
      </c>
      <c r="N71" s="4" t="s">
        <v>319</v>
      </c>
      <c r="O71" s="4" t="s">
        <v>345</v>
      </c>
      <c r="P71" s="4" t="s">
        <v>255</v>
      </c>
      <c r="Q71" s="4" t="s">
        <v>333</v>
      </c>
      <c r="R71">
        <f>R69*$I$6</f>
        <v>3.3999999999999998E-3</v>
      </c>
    </row>
    <row r="72" spans="13:18" x14ac:dyDescent="0.25">
      <c r="M72" t="s">
        <v>342</v>
      </c>
      <c r="N72" s="4" t="s">
        <v>323</v>
      </c>
      <c r="O72" s="4" t="s">
        <v>345</v>
      </c>
      <c r="P72" s="4" t="s">
        <v>255</v>
      </c>
      <c r="Q72" s="4" t="s">
        <v>333</v>
      </c>
      <c r="R72">
        <f>R71/R70</f>
        <v>1.2142857142857141E-2</v>
      </c>
    </row>
    <row r="73" spans="13:18" x14ac:dyDescent="0.25">
      <c r="M73" t="s">
        <v>337</v>
      </c>
      <c r="N73" s="4" t="s">
        <v>302</v>
      </c>
      <c r="O73" s="4" t="s">
        <v>345</v>
      </c>
      <c r="P73" s="4" t="s">
        <v>255</v>
      </c>
      <c r="Q73" s="4" t="s">
        <v>333</v>
      </c>
      <c r="R73">
        <f>LN(2)/R72</f>
        <v>57.082708987289621</v>
      </c>
    </row>
    <row r="74" spans="13:18" x14ac:dyDescent="0.25">
      <c r="M74" t="s">
        <v>338</v>
      </c>
      <c r="N74" s="4" t="s">
        <v>303</v>
      </c>
      <c r="O74" s="4" t="s">
        <v>345</v>
      </c>
      <c r="P74" s="4" t="s">
        <v>255</v>
      </c>
      <c r="Q74" s="4" t="s">
        <v>333</v>
      </c>
      <c r="R74">
        <f>R73*24</f>
        <v>1369.985015694951</v>
      </c>
    </row>
    <row r="76" spans="13:18" x14ac:dyDescent="0.25">
      <c r="M76" t="s">
        <v>341</v>
      </c>
      <c r="N76" s="4" t="s">
        <v>316</v>
      </c>
      <c r="O76" s="4" t="s">
        <v>346</v>
      </c>
      <c r="P76" s="4" t="s">
        <v>255</v>
      </c>
      <c r="Q76" s="4" t="s">
        <v>332</v>
      </c>
      <c r="R76">
        <v>4.4000000000000004</v>
      </c>
    </row>
    <row r="77" spans="13:18" x14ac:dyDescent="0.25">
      <c r="M77" t="s">
        <v>339</v>
      </c>
      <c r="N77" s="4" t="s">
        <v>318</v>
      </c>
      <c r="O77" s="4" t="s">
        <v>346</v>
      </c>
      <c r="P77" s="4" t="s">
        <v>255</v>
      </c>
      <c r="Q77" s="4" t="s">
        <v>332</v>
      </c>
      <c r="R77">
        <v>0.56999999999999995</v>
      </c>
    </row>
    <row r="78" spans="13:18" x14ac:dyDescent="0.25">
      <c r="M78" t="s">
        <v>340</v>
      </c>
      <c r="N78" s="4" t="s">
        <v>319</v>
      </c>
      <c r="O78" s="4" t="s">
        <v>346</v>
      </c>
      <c r="P78" s="4" t="s">
        <v>255</v>
      </c>
      <c r="Q78" s="4" t="s">
        <v>332</v>
      </c>
      <c r="R78">
        <f>R76*$I$6</f>
        <v>4.4000000000000003E-3</v>
      </c>
    </row>
    <row r="79" spans="13:18" x14ac:dyDescent="0.25">
      <c r="M79" t="s">
        <v>342</v>
      </c>
      <c r="N79" s="4" t="s">
        <v>323</v>
      </c>
      <c r="O79" s="4" t="s">
        <v>346</v>
      </c>
      <c r="P79" s="4" t="s">
        <v>255</v>
      </c>
      <c r="Q79" s="4" t="s">
        <v>332</v>
      </c>
      <c r="R79">
        <f>R78/R77</f>
        <v>7.7192982456140364E-3</v>
      </c>
    </row>
    <row r="80" spans="13:18" x14ac:dyDescent="0.25">
      <c r="M80" t="s">
        <v>337</v>
      </c>
      <c r="N80" s="4" t="s">
        <v>302</v>
      </c>
      <c r="O80" s="4" t="s">
        <v>346</v>
      </c>
      <c r="P80" s="4" t="s">
        <v>255</v>
      </c>
      <c r="Q80" s="4" t="s">
        <v>332</v>
      </c>
      <c r="R80">
        <f>LN(2)/R79</f>
        <v>89.794066572538355</v>
      </c>
    </row>
    <row r="81" spans="13:18" x14ac:dyDescent="0.25">
      <c r="M81" t="s">
        <v>338</v>
      </c>
      <c r="N81" s="4" t="s">
        <v>303</v>
      </c>
      <c r="O81" s="4" t="s">
        <v>346</v>
      </c>
      <c r="P81" s="4" t="s">
        <v>255</v>
      </c>
      <c r="Q81" s="4" t="s">
        <v>332</v>
      </c>
      <c r="R81">
        <f>R80*24</f>
        <v>2155.0575977409208</v>
      </c>
    </row>
    <row r="83" spans="13:18" x14ac:dyDescent="0.25">
      <c r="M83" t="s">
        <v>341</v>
      </c>
      <c r="N83" s="4" t="s">
        <v>316</v>
      </c>
      <c r="O83" s="4" t="s">
        <v>346</v>
      </c>
      <c r="P83" s="4" t="s">
        <v>255</v>
      </c>
      <c r="Q83" s="4" t="s">
        <v>333</v>
      </c>
      <c r="R83">
        <v>4.8</v>
      </c>
    </row>
    <row r="84" spans="13:18" x14ac:dyDescent="0.25">
      <c r="M84" t="s">
        <v>339</v>
      </c>
      <c r="N84" s="4" t="s">
        <v>318</v>
      </c>
      <c r="O84" s="4" t="s">
        <v>346</v>
      </c>
      <c r="P84" s="4" t="s">
        <v>255</v>
      </c>
      <c r="Q84" s="4" t="s">
        <v>333</v>
      </c>
      <c r="R84">
        <v>0.35</v>
      </c>
    </row>
    <row r="85" spans="13:18" x14ac:dyDescent="0.25">
      <c r="M85" t="s">
        <v>340</v>
      </c>
      <c r="N85" s="4" t="s">
        <v>319</v>
      </c>
      <c r="O85" s="4" t="s">
        <v>346</v>
      </c>
      <c r="P85" s="4" t="s">
        <v>255</v>
      </c>
      <c r="Q85" s="4" t="s">
        <v>333</v>
      </c>
      <c r="R85">
        <f>R83*$I$6</f>
        <v>4.7999999999999996E-3</v>
      </c>
    </row>
    <row r="86" spans="13:18" x14ac:dyDescent="0.25">
      <c r="M86" t="s">
        <v>342</v>
      </c>
      <c r="N86" s="4" t="s">
        <v>323</v>
      </c>
      <c r="O86" s="4" t="s">
        <v>346</v>
      </c>
      <c r="P86" s="4" t="s">
        <v>255</v>
      </c>
      <c r="Q86" s="4" t="s">
        <v>333</v>
      </c>
      <c r="R86">
        <f>R85/R84</f>
        <v>1.3714285714285714E-2</v>
      </c>
    </row>
    <row r="87" spans="13:18" x14ac:dyDescent="0.25">
      <c r="M87" t="s">
        <v>337</v>
      </c>
      <c r="N87" s="4" t="s">
        <v>302</v>
      </c>
      <c r="O87" s="4" t="s">
        <v>346</v>
      </c>
      <c r="P87" s="4" t="s">
        <v>255</v>
      </c>
      <c r="Q87" s="4" t="s">
        <v>333</v>
      </c>
      <c r="R87">
        <f>LN(2)/R86</f>
        <v>50.541981915829346</v>
      </c>
    </row>
    <row r="88" spans="13:18" x14ac:dyDescent="0.25">
      <c r="M88" t="s">
        <v>338</v>
      </c>
      <c r="N88" s="4" t="s">
        <v>303</v>
      </c>
      <c r="O88" s="4" t="s">
        <v>346</v>
      </c>
      <c r="P88" s="4" t="s">
        <v>255</v>
      </c>
      <c r="Q88" s="4" t="s">
        <v>333</v>
      </c>
      <c r="R88">
        <f>R87*24</f>
        <v>1213.0075659799043</v>
      </c>
    </row>
    <row r="90" spans="13:18" x14ac:dyDescent="0.25">
      <c r="M90" t="s">
        <v>341</v>
      </c>
      <c r="N90" s="4" t="s">
        <v>316</v>
      </c>
      <c r="O90" s="4" t="s">
        <v>347</v>
      </c>
      <c r="P90" s="4" t="s">
        <v>255</v>
      </c>
      <c r="Q90" s="4" t="s">
        <v>332</v>
      </c>
      <c r="R90">
        <v>6.8</v>
      </c>
    </row>
    <row r="91" spans="13:18" x14ac:dyDescent="0.25">
      <c r="M91" t="s">
        <v>339</v>
      </c>
      <c r="N91" s="4" t="s">
        <v>318</v>
      </c>
      <c r="O91" s="4" t="s">
        <v>347</v>
      </c>
      <c r="P91" s="4" t="s">
        <v>255</v>
      </c>
      <c r="Q91" s="4" t="s">
        <v>332</v>
      </c>
      <c r="R91">
        <v>0.57999999999999996</v>
      </c>
    </row>
    <row r="92" spans="13:18" x14ac:dyDescent="0.25">
      <c r="M92" t="s">
        <v>340</v>
      </c>
      <c r="N92" s="4" t="s">
        <v>319</v>
      </c>
      <c r="O92" s="4" t="s">
        <v>347</v>
      </c>
      <c r="P92" s="4" t="s">
        <v>255</v>
      </c>
      <c r="Q92" s="4" t="s">
        <v>332</v>
      </c>
      <c r="R92">
        <f>R90*$I$6</f>
        <v>6.7999999999999996E-3</v>
      </c>
    </row>
    <row r="93" spans="13:18" x14ac:dyDescent="0.25">
      <c r="M93" t="s">
        <v>342</v>
      </c>
      <c r="N93" s="4" t="s">
        <v>323</v>
      </c>
      <c r="O93" s="4" t="s">
        <v>347</v>
      </c>
      <c r="P93" s="4" t="s">
        <v>255</v>
      </c>
      <c r="Q93" s="4" t="s">
        <v>332</v>
      </c>
      <c r="R93">
        <f>R92/R91</f>
        <v>1.1724137931034483E-2</v>
      </c>
    </row>
    <row r="94" spans="13:18" x14ac:dyDescent="0.25">
      <c r="M94" t="s">
        <v>337</v>
      </c>
      <c r="N94" s="4" t="s">
        <v>302</v>
      </c>
      <c r="O94" s="4" t="s">
        <v>347</v>
      </c>
      <c r="P94" s="4" t="s">
        <v>255</v>
      </c>
      <c r="Q94" s="4" t="s">
        <v>332</v>
      </c>
      <c r="R94">
        <f>LN(2)/R93</f>
        <v>59.121377165407097</v>
      </c>
    </row>
    <row r="95" spans="13:18" x14ac:dyDescent="0.25">
      <c r="M95" t="s">
        <v>338</v>
      </c>
      <c r="N95" s="4" t="s">
        <v>303</v>
      </c>
      <c r="O95" s="4" t="s">
        <v>347</v>
      </c>
      <c r="P95" s="4" t="s">
        <v>255</v>
      </c>
      <c r="Q95" s="4" t="s">
        <v>332</v>
      </c>
      <c r="R95">
        <f>R94*24</f>
        <v>1418.9130519697703</v>
      </c>
    </row>
    <row r="97" spans="13:18" x14ac:dyDescent="0.25">
      <c r="M97" t="s">
        <v>341</v>
      </c>
      <c r="N97" s="4" t="s">
        <v>316</v>
      </c>
      <c r="O97" s="4" t="s">
        <v>347</v>
      </c>
      <c r="P97" s="4" t="s">
        <v>255</v>
      </c>
      <c r="Q97" s="4" t="s">
        <v>333</v>
      </c>
      <c r="R97">
        <v>7.2</v>
      </c>
    </row>
    <row r="98" spans="13:18" x14ac:dyDescent="0.25">
      <c r="M98" t="s">
        <v>339</v>
      </c>
      <c r="N98" s="4" t="s">
        <v>318</v>
      </c>
      <c r="O98" s="4" t="s">
        <v>347</v>
      </c>
      <c r="P98" s="4" t="s">
        <v>255</v>
      </c>
      <c r="Q98" s="4" t="s">
        <v>333</v>
      </c>
      <c r="R98">
        <v>0.43</v>
      </c>
    </row>
    <row r="99" spans="13:18" x14ac:dyDescent="0.25">
      <c r="M99" t="s">
        <v>340</v>
      </c>
      <c r="N99" s="4" t="s">
        <v>319</v>
      </c>
      <c r="O99" s="4" t="s">
        <v>347</v>
      </c>
      <c r="P99" s="4" t="s">
        <v>255</v>
      </c>
      <c r="Q99" s="4" t="s">
        <v>333</v>
      </c>
      <c r="R99">
        <f>R97*$I$6</f>
        <v>7.2000000000000007E-3</v>
      </c>
    </row>
    <row r="100" spans="13:18" x14ac:dyDescent="0.25">
      <c r="M100" t="s">
        <v>342</v>
      </c>
      <c r="N100" s="4" t="s">
        <v>323</v>
      </c>
      <c r="O100" s="4" t="s">
        <v>347</v>
      </c>
      <c r="P100" s="4" t="s">
        <v>255</v>
      </c>
      <c r="Q100" s="4" t="s">
        <v>333</v>
      </c>
      <c r="R100">
        <f>R99/R98</f>
        <v>1.6744186046511629E-2</v>
      </c>
    </row>
    <row r="101" spans="13:18" x14ac:dyDescent="0.25">
      <c r="M101" t="s">
        <v>337</v>
      </c>
      <c r="N101" s="4" t="s">
        <v>302</v>
      </c>
      <c r="O101" s="4" t="s">
        <v>347</v>
      </c>
      <c r="P101" s="4" t="s">
        <v>255</v>
      </c>
      <c r="Q101" s="4" t="s">
        <v>333</v>
      </c>
      <c r="R101">
        <f>LN(2)/R100</f>
        <v>41.396289950107843</v>
      </c>
    </row>
    <row r="102" spans="13:18" x14ac:dyDescent="0.25">
      <c r="M102" t="s">
        <v>338</v>
      </c>
      <c r="N102" s="4" t="s">
        <v>303</v>
      </c>
      <c r="O102" s="4" t="s">
        <v>347</v>
      </c>
      <c r="P102" s="4" t="s">
        <v>255</v>
      </c>
      <c r="Q102" s="4" t="s">
        <v>333</v>
      </c>
      <c r="R102">
        <f>R101*24</f>
        <v>993.51095880258822</v>
      </c>
    </row>
    <row r="104" spans="13:18" x14ac:dyDescent="0.25">
      <c r="M104" t="s">
        <v>341</v>
      </c>
      <c r="N104" s="4" t="s">
        <v>316</v>
      </c>
      <c r="O104" s="4" t="s">
        <v>348</v>
      </c>
      <c r="P104" s="4" t="s">
        <v>255</v>
      </c>
      <c r="Q104" s="4" t="s">
        <v>332</v>
      </c>
      <c r="R104">
        <v>10</v>
      </c>
    </row>
    <row r="105" spans="13:18" x14ac:dyDescent="0.25">
      <c r="M105" t="s">
        <v>339</v>
      </c>
      <c r="N105" s="4" t="s">
        <v>318</v>
      </c>
      <c r="O105" s="4" t="s">
        <v>348</v>
      </c>
      <c r="P105" s="4" t="s">
        <v>255</v>
      </c>
      <c r="Q105" s="4" t="s">
        <v>332</v>
      </c>
      <c r="R105">
        <v>0.55000000000000004</v>
      </c>
    </row>
    <row r="106" spans="13:18" x14ac:dyDescent="0.25">
      <c r="M106" t="s">
        <v>340</v>
      </c>
      <c r="N106" s="4" t="s">
        <v>319</v>
      </c>
      <c r="O106" s="4" t="s">
        <v>348</v>
      </c>
      <c r="P106" s="4" t="s">
        <v>255</v>
      </c>
      <c r="Q106" s="4" t="s">
        <v>332</v>
      </c>
      <c r="R106">
        <f>R104*$I$6</f>
        <v>0.01</v>
      </c>
    </row>
    <row r="107" spans="13:18" x14ac:dyDescent="0.25">
      <c r="M107" t="s">
        <v>342</v>
      </c>
      <c r="N107" s="4" t="s">
        <v>323</v>
      </c>
      <c r="O107" s="4" t="s">
        <v>348</v>
      </c>
      <c r="P107" s="4" t="s">
        <v>255</v>
      </c>
      <c r="Q107" s="4" t="s">
        <v>332</v>
      </c>
      <c r="R107">
        <f>R106/R105</f>
        <v>1.8181818181818181E-2</v>
      </c>
    </row>
    <row r="108" spans="13:18" x14ac:dyDescent="0.25">
      <c r="M108" t="s">
        <v>337</v>
      </c>
      <c r="N108" s="4" t="s">
        <v>302</v>
      </c>
      <c r="O108" s="4" t="s">
        <v>348</v>
      </c>
      <c r="P108" s="4" t="s">
        <v>255</v>
      </c>
      <c r="Q108" s="4" t="s">
        <v>332</v>
      </c>
      <c r="R108">
        <f>LN(2)/R107</f>
        <v>38.123094930796995</v>
      </c>
    </row>
    <row r="109" spans="13:18" x14ac:dyDescent="0.25">
      <c r="M109" t="s">
        <v>338</v>
      </c>
      <c r="N109" s="4" t="s">
        <v>303</v>
      </c>
      <c r="O109" s="4" t="s">
        <v>348</v>
      </c>
      <c r="P109" s="4" t="s">
        <v>255</v>
      </c>
      <c r="Q109" s="4" t="s">
        <v>332</v>
      </c>
      <c r="R109">
        <f>R108*24</f>
        <v>914.95427833912788</v>
      </c>
    </row>
    <row r="111" spans="13:18" x14ac:dyDescent="0.25">
      <c r="M111" t="s">
        <v>341</v>
      </c>
      <c r="N111" s="4" t="s">
        <v>316</v>
      </c>
      <c r="O111" s="4" t="s">
        <v>348</v>
      </c>
      <c r="P111" s="4" t="s">
        <v>255</v>
      </c>
      <c r="Q111" s="4" t="s">
        <v>333</v>
      </c>
      <c r="R111">
        <v>10.4</v>
      </c>
    </row>
    <row r="112" spans="13:18" x14ac:dyDescent="0.25">
      <c r="M112" t="s">
        <v>339</v>
      </c>
      <c r="N112" s="4" t="s">
        <v>318</v>
      </c>
      <c r="O112" s="4" t="s">
        <v>348</v>
      </c>
      <c r="P112" s="4" t="s">
        <v>255</v>
      </c>
      <c r="Q112" s="4" t="s">
        <v>333</v>
      </c>
      <c r="R112">
        <v>0.43</v>
      </c>
    </row>
    <row r="113" spans="13:18" x14ac:dyDescent="0.25">
      <c r="M113" t="s">
        <v>340</v>
      </c>
      <c r="N113" s="4" t="s">
        <v>319</v>
      </c>
      <c r="O113" s="4" t="s">
        <v>348</v>
      </c>
      <c r="P113" s="4" t="s">
        <v>255</v>
      </c>
      <c r="Q113" s="4" t="s">
        <v>333</v>
      </c>
      <c r="R113">
        <f>R111*$I$6</f>
        <v>1.0400000000000001E-2</v>
      </c>
    </row>
    <row r="114" spans="13:18" x14ac:dyDescent="0.25">
      <c r="M114" t="s">
        <v>342</v>
      </c>
      <c r="N114" s="4" t="s">
        <v>323</v>
      </c>
      <c r="O114" s="4" t="s">
        <v>348</v>
      </c>
      <c r="P114" s="4" t="s">
        <v>255</v>
      </c>
      <c r="Q114" s="4" t="s">
        <v>333</v>
      </c>
      <c r="R114">
        <f>R113/R112</f>
        <v>2.4186046511627909E-2</v>
      </c>
    </row>
    <row r="115" spans="13:18" x14ac:dyDescent="0.25">
      <c r="M115" t="s">
        <v>337</v>
      </c>
      <c r="N115" s="4" t="s">
        <v>302</v>
      </c>
      <c r="O115" s="4" t="s">
        <v>348</v>
      </c>
      <c r="P115" s="4" t="s">
        <v>255</v>
      </c>
      <c r="Q115" s="4" t="s">
        <v>333</v>
      </c>
      <c r="R115">
        <f>LN(2)/R114</f>
        <v>28.658969965459274</v>
      </c>
    </row>
    <row r="116" spans="13:18" x14ac:dyDescent="0.25">
      <c r="M116" t="s">
        <v>338</v>
      </c>
      <c r="N116" s="4" t="s">
        <v>303</v>
      </c>
      <c r="O116" s="4" t="s">
        <v>348</v>
      </c>
      <c r="P116" s="4" t="s">
        <v>255</v>
      </c>
      <c r="Q116" s="4" t="s">
        <v>333</v>
      </c>
      <c r="R116">
        <f>R115*24</f>
        <v>687.81527917102255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BCDE-6160-4AC4-8760-715458C78DB2}">
  <dimension ref="A1:I146"/>
  <sheetViews>
    <sheetView tabSelected="1" topLeftCell="A121" workbookViewId="0">
      <selection activeCell="F131" sqref="F131:F146"/>
    </sheetView>
  </sheetViews>
  <sheetFormatPr defaultRowHeight="15" x14ac:dyDescent="0.25"/>
  <cols>
    <col min="1" max="1" width="24.85546875" bestFit="1" customWidth="1"/>
    <col min="2" max="2" width="12" bestFit="1" customWidth="1"/>
    <col min="4" max="4" width="9.85546875" customWidth="1"/>
    <col min="5" max="5" width="11.5703125" bestFit="1" customWidth="1"/>
    <col min="7" max="7" width="12" bestFit="1" customWidth="1"/>
    <col min="8" max="8" width="12" customWidth="1"/>
  </cols>
  <sheetData>
    <row r="1" spans="1:9" x14ac:dyDescent="0.25">
      <c r="A1" t="s">
        <v>376</v>
      </c>
      <c r="B1" t="s">
        <v>359</v>
      </c>
      <c r="C1" t="s">
        <v>351</v>
      </c>
      <c r="D1" t="s">
        <v>377</v>
      </c>
      <c r="E1" t="s">
        <v>3</v>
      </c>
      <c r="F1" t="s">
        <v>36</v>
      </c>
      <c r="G1" t="s">
        <v>378</v>
      </c>
      <c r="H1" t="s">
        <v>379</v>
      </c>
      <c r="I1" t="s">
        <v>11</v>
      </c>
    </row>
    <row r="2" spans="1:9" hidden="1" x14ac:dyDescent="0.25">
      <c r="A2" t="s">
        <v>342</v>
      </c>
      <c r="B2" t="s">
        <v>323</v>
      </c>
      <c r="C2" t="s">
        <v>329</v>
      </c>
      <c r="D2" t="s">
        <v>255</v>
      </c>
      <c r="F2" t="s">
        <v>332</v>
      </c>
      <c r="G2">
        <v>4.9628571428571426</v>
      </c>
      <c r="I2" t="s">
        <v>350</v>
      </c>
    </row>
    <row r="3" spans="1:9" hidden="1" x14ac:dyDescent="0.25">
      <c r="A3" t="s">
        <v>342</v>
      </c>
      <c r="B3" t="s">
        <v>323</v>
      </c>
      <c r="C3" t="s">
        <v>329</v>
      </c>
      <c r="D3" t="s">
        <v>255</v>
      </c>
      <c r="F3" t="s">
        <v>333</v>
      </c>
      <c r="G3">
        <v>3.2087499999999998</v>
      </c>
      <c r="I3" t="s">
        <v>350</v>
      </c>
    </row>
    <row r="4" spans="1:9" hidden="1" x14ac:dyDescent="0.25">
      <c r="A4" t="s">
        <v>342</v>
      </c>
      <c r="B4" t="s">
        <v>323</v>
      </c>
      <c r="C4" t="s">
        <v>334</v>
      </c>
      <c r="D4" t="s">
        <v>255</v>
      </c>
      <c r="F4" t="s">
        <v>332</v>
      </c>
      <c r="G4">
        <v>6.4545454545454545E-2</v>
      </c>
      <c r="I4" t="s">
        <v>350</v>
      </c>
    </row>
    <row r="5" spans="1:9" hidden="1" x14ac:dyDescent="0.25">
      <c r="A5" t="s">
        <v>342</v>
      </c>
      <c r="B5" t="s">
        <v>323</v>
      </c>
      <c r="C5" t="s">
        <v>334</v>
      </c>
      <c r="D5" t="s">
        <v>255</v>
      </c>
      <c r="F5" t="s">
        <v>333</v>
      </c>
      <c r="G5">
        <v>5.3636363636363642E-2</v>
      </c>
      <c r="I5" t="s">
        <v>350</v>
      </c>
    </row>
    <row r="6" spans="1:9" hidden="1" x14ac:dyDescent="0.25">
      <c r="A6" t="s">
        <v>342</v>
      </c>
      <c r="B6" t="s">
        <v>323</v>
      </c>
      <c r="C6" t="s">
        <v>343</v>
      </c>
      <c r="D6" t="s">
        <v>255</v>
      </c>
      <c r="F6" t="s">
        <v>332</v>
      </c>
      <c r="G6">
        <v>1.7727272727272727E-2</v>
      </c>
      <c r="I6" t="s">
        <v>350</v>
      </c>
    </row>
    <row r="7" spans="1:9" hidden="1" x14ac:dyDescent="0.25">
      <c r="A7" t="s">
        <v>342</v>
      </c>
      <c r="B7" t="s">
        <v>323</v>
      </c>
      <c r="C7" t="s">
        <v>343</v>
      </c>
      <c r="D7" t="s">
        <v>255</v>
      </c>
      <c r="F7" t="s">
        <v>333</v>
      </c>
      <c r="G7">
        <v>3.3999999999999996E-2</v>
      </c>
      <c r="I7" t="s">
        <v>350</v>
      </c>
    </row>
    <row r="8" spans="1:9" hidden="1" x14ac:dyDescent="0.25">
      <c r="A8" t="s">
        <v>342</v>
      </c>
      <c r="B8" t="s">
        <v>323</v>
      </c>
      <c r="C8" t="s">
        <v>344</v>
      </c>
      <c r="D8" t="s">
        <v>255</v>
      </c>
      <c r="F8" t="s">
        <v>332</v>
      </c>
      <c r="G8">
        <v>8.8000000000000005E-3</v>
      </c>
      <c r="I8" t="s">
        <v>350</v>
      </c>
    </row>
    <row r="9" spans="1:9" hidden="1" x14ac:dyDescent="0.25">
      <c r="A9" t="s">
        <v>342</v>
      </c>
      <c r="B9" t="s">
        <v>323</v>
      </c>
      <c r="C9" t="s">
        <v>344</v>
      </c>
      <c r="D9" t="s">
        <v>255</v>
      </c>
      <c r="F9" t="s">
        <v>333</v>
      </c>
      <c r="G9">
        <v>1.3999999999999999E-2</v>
      </c>
      <c r="I9" t="s">
        <v>350</v>
      </c>
    </row>
    <row r="10" spans="1:9" hidden="1" x14ac:dyDescent="0.25">
      <c r="A10" t="s">
        <v>342</v>
      </c>
      <c r="B10" t="s">
        <v>323</v>
      </c>
      <c r="C10" t="s">
        <v>345</v>
      </c>
      <c r="D10" t="s">
        <v>255</v>
      </c>
      <c r="F10" t="s">
        <v>332</v>
      </c>
      <c r="G10">
        <v>8.484848484848484E-3</v>
      </c>
      <c r="I10" t="s">
        <v>350</v>
      </c>
    </row>
    <row r="11" spans="1:9" hidden="1" x14ac:dyDescent="0.25">
      <c r="A11" t="s">
        <v>342</v>
      </c>
      <c r="B11" t="s">
        <v>323</v>
      </c>
      <c r="C11" t="s">
        <v>345</v>
      </c>
      <c r="D11" t="s">
        <v>255</v>
      </c>
      <c r="F11" t="s">
        <v>333</v>
      </c>
      <c r="G11">
        <v>1.2142857142857141E-2</v>
      </c>
      <c r="I11" t="s">
        <v>350</v>
      </c>
    </row>
    <row r="12" spans="1:9" hidden="1" x14ac:dyDescent="0.25">
      <c r="A12" t="s">
        <v>342</v>
      </c>
      <c r="B12" t="s">
        <v>323</v>
      </c>
      <c r="C12" t="s">
        <v>346</v>
      </c>
      <c r="D12" t="s">
        <v>255</v>
      </c>
      <c r="F12" t="s">
        <v>332</v>
      </c>
      <c r="G12">
        <v>7.7192982456140364E-3</v>
      </c>
      <c r="I12" t="s">
        <v>350</v>
      </c>
    </row>
    <row r="13" spans="1:9" hidden="1" x14ac:dyDescent="0.25">
      <c r="A13" t="s">
        <v>342</v>
      </c>
      <c r="B13" t="s">
        <v>323</v>
      </c>
      <c r="C13" t="s">
        <v>346</v>
      </c>
      <c r="D13" t="s">
        <v>255</v>
      </c>
      <c r="F13" t="s">
        <v>333</v>
      </c>
      <c r="G13">
        <v>1.3714285714285714E-2</v>
      </c>
      <c r="I13" t="s">
        <v>350</v>
      </c>
    </row>
    <row r="14" spans="1:9" hidden="1" x14ac:dyDescent="0.25">
      <c r="A14" t="s">
        <v>342</v>
      </c>
      <c r="B14" t="s">
        <v>323</v>
      </c>
      <c r="C14" t="s">
        <v>347</v>
      </c>
      <c r="D14" t="s">
        <v>255</v>
      </c>
      <c r="F14" t="s">
        <v>332</v>
      </c>
      <c r="G14">
        <v>1.1724137931034483E-2</v>
      </c>
      <c r="I14" t="s">
        <v>350</v>
      </c>
    </row>
    <row r="15" spans="1:9" hidden="1" x14ac:dyDescent="0.25">
      <c r="A15" t="s">
        <v>342</v>
      </c>
      <c r="B15" t="s">
        <v>323</v>
      </c>
      <c r="C15" t="s">
        <v>347</v>
      </c>
      <c r="D15" t="s">
        <v>255</v>
      </c>
      <c r="F15" t="s">
        <v>333</v>
      </c>
      <c r="G15">
        <v>1.6744186046511629E-2</v>
      </c>
      <c r="I15" t="s">
        <v>350</v>
      </c>
    </row>
    <row r="16" spans="1:9" hidden="1" x14ac:dyDescent="0.25">
      <c r="A16" t="s">
        <v>342</v>
      </c>
      <c r="B16" t="s">
        <v>323</v>
      </c>
      <c r="C16" t="s">
        <v>348</v>
      </c>
      <c r="D16" t="s">
        <v>255</v>
      </c>
      <c r="F16" t="s">
        <v>332</v>
      </c>
      <c r="G16">
        <v>1.8181818181818181E-2</v>
      </c>
      <c r="I16" t="s">
        <v>350</v>
      </c>
    </row>
    <row r="17" spans="1:9" hidden="1" x14ac:dyDescent="0.25">
      <c r="A17" t="s">
        <v>342</v>
      </c>
      <c r="B17" t="s">
        <v>323</v>
      </c>
      <c r="C17" t="s">
        <v>348</v>
      </c>
      <c r="D17" t="s">
        <v>255</v>
      </c>
      <c r="F17" t="s">
        <v>333</v>
      </c>
      <c r="G17">
        <v>2.4186046511627909E-2</v>
      </c>
      <c r="I17" t="s">
        <v>350</v>
      </c>
    </row>
    <row r="18" spans="1:9" hidden="1" x14ac:dyDescent="0.25">
      <c r="A18" t="s">
        <v>337</v>
      </c>
      <c r="B18" t="s">
        <v>302</v>
      </c>
      <c r="C18" t="s">
        <v>329</v>
      </c>
      <c r="D18" t="s">
        <v>255</v>
      </c>
      <c r="F18" t="s">
        <v>332</v>
      </c>
      <c r="G18">
        <v>0.13966696211628143</v>
      </c>
      <c r="I18" t="s">
        <v>350</v>
      </c>
    </row>
    <row r="19" spans="1:9" hidden="1" x14ac:dyDescent="0.25">
      <c r="A19" t="s">
        <v>337</v>
      </c>
      <c r="B19" t="s">
        <v>302</v>
      </c>
      <c r="C19" t="s">
        <v>329</v>
      </c>
      <c r="D19" t="s">
        <v>255</v>
      </c>
      <c r="F19" t="s">
        <v>333</v>
      </c>
      <c r="G19">
        <v>0.21601782019787935</v>
      </c>
      <c r="I19" t="s">
        <v>350</v>
      </c>
    </row>
    <row r="20" spans="1:9" hidden="1" x14ac:dyDescent="0.25">
      <c r="A20" t="s">
        <v>337</v>
      </c>
      <c r="B20" t="s">
        <v>302</v>
      </c>
      <c r="C20" t="s">
        <v>334</v>
      </c>
      <c r="D20" t="s">
        <v>255</v>
      </c>
      <c r="F20" t="s">
        <v>332</v>
      </c>
      <c r="G20">
        <v>10.738899980506195</v>
      </c>
      <c r="I20" t="s">
        <v>350</v>
      </c>
    </row>
    <row r="21" spans="1:9" hidden="1" x14ac:dyDescent="0.25">
      <c r="A21" t="s">
        <v>337</v>
      </c>
      <c r="B21" t="s">
        <v>302</v>
      </c>
      <c r="C21" t="s">
        <v>334</v>
      </c>
      <c r="D21" t="s">
        <v>255</v>
      </c>
      <c r="F21" t="s">
        <v>333</v>
      </c>
      <c r="G21">
        <v>12.92308302738881</v>
      </c>
      <c r="I21" t="s">
        <v>350</v>
      </c>
    </row>
    <row r="22" spans="1:9" hidden="1" x14ac:dyDescent="0.25">
      <c r="A22" t="s">
        <v>337</v>
      </c>
      <c r="B22" t="s">
        <v>302</v>
      </c>
      <c r="C22" t="s">
        <v>343</v>
      </c>
      <c r="D22" t="s">
        <v>255</v>
      </c>
      <c r="F22" t="s">
        <v>332</v>
      </c>
      <c r="G22">
        <v>39.100610185432814</v>
      </c>
      <c r="I22" t="s">
        <v>350</v>
      </c>
    </row>
    <row r="23" spans="1:9" hidden="1" x14ac:dyDescent="0.25">
      <c r="A23" t="s">
        <v>337</v>
      </c>
      <c r="B23" t="s">
        <v>302</v>
      </c>
      <c r="C23" t="s">
        <v>343</v>
      </c>
      <c r="D23" t="s">
        <v>255</v>
      </c>
      <c r="F23" t="s">
        <v>333</v>
      </c>
      <c r="G23">
        <v>20.386681781174865</v>
      </c>
      <c r="I23" t="s">
        <v>350</v>
      </c>
    </row>
    <row r="24" spans="1:9" hidden="1" x14ac:dyDescent="0.25">
      <c r="A24" t="s">
        <v>337</v>
      </c>
      <c r="B24" t="s">
        <v>302</v>
      </c>
      <c r="C24" t="s">
        <v>344</v>
      </c>
      <c r="D24" t="s">
        <v>255</v>
      </c>
      <c r="F24" t="s">
        <v>332</v>
      </c>
      <c r="G24">
        <v>78.766725063630147</v>
      </c>
      <c r="I24" t="s">
        <v>350</v>
      </c>
    </row>
    <row r="25" spans="1:9" hidden="1" x14ac:dyDescent="0.25">
      <c r="A25" t="s">
        <v>337</v>
      </c>
      <c r="B25" t="s">
        <v>302</v>
      </c>
      <c r="C25" t="s">
        <v>344</v>
      </c>
      <c r="D25" t="s">
        <v>255</v>
      </c>
      <c r="F25" t="s">
        <v>333</v>
      </c>
      <c r="G25">
        <v>49.510512897138952</v>
      </c>
      <c r="I25" t="s">
        <v>350</v>
      </c>
    </row>
    <row r="26" spans="1:9" hidden="1" x14ac:dyDescent="0.25">
      <c r="A26" t="s">
        <v>337</v>
      </c>
      <c r="B26" t="s">
        <v>302</v>
      </c>
      <c r="C26" t="s">
        <v>345</v>
      </c>
      <c r="D26" t="s">
        <v>255</v>
      </c>
      <c r="F26" t="s">
        <v>332</v>
      </c>
      <c r="G26">
        <v>81.692346280279281</v>
      </c>
      <c r="I26" t="s">
        <v>350</v>
      </c>
    </row>
    <row r="27" spans="1:9" hidden="1" x14ac:dyDescent="0.25">
      <c r="A27" t="s">
        <v>337</v>
      </c>
      <c r="B27" t="s">
        <v>302</v>
      </c>
      <c r="C27" t="s">
        <v>345</v>
      </c>
      <c r="D27" t="s">
        <v>255</v>
      </c>
      <c r="F27" t="s">
        <v>333</v>
      </c>
      <c r="G27">
        <v>57.082708987289621</v>
      </c>
      <c r="I27" t="s">
        <v>350</v>
      </c>
    </row>
    <row r="28" spans="1:9" hidden="1" x14ac:dyDescent="0.25">
      <c r="A28" t="s">
        <v>337</v>
      </c>
      <c r="B28" t="s">
        <v>302</v>
      </c>
      <c r="C28" t="s">
        <v>346</v>
      </c>
      <c r="D28" t="s">
        <v>255</v>
      </c>
      <c r="F28" t="s">
        <v>332</v>
      </c>
      <c r="G28">
        <v>89.794066572538355</v>
      </c>
      <c r="I28" t="s">
        <v>350</v>
      </c>
    </row>
    <row r="29" spans="1:9" hidden="1" x14ac:dyDescent="0.25">
      <c r="A29" t="s">
        <v>337</v>
      </c>
      <c r="B29" t="s">
        <v>302</v>
      </c>
      <c r="C29" t="s">
        <v>346</v>
      </c>
      <c r="D29" t="s">
        <v>255</v>
      </c>
      <c r="F29" t="s">
        <v>333</v>
      </c>
      <c r="G29">
        <v>50.541981915829346</v>
      </c>
      <c r="I29" t="s">
        <v>350</v>
      </c>
    </row>
    <row r="30" spans="1:9" hidden="1" x14ac:dyDescent="0.25">
      <c r="A30" t="s">
        <v>337</v>
      </c>
      <c r="B30" t="s">
        <v>302</v>
      </c>
      <c r="C30" t="s">
        <v>347</v>
      </c>
      <c r="D30" t="s">
        <v>255</v>
      </c>
      <c r="F30" t="s">
        <v>332</v>
      </c>
      <c r="G30">
        <v>59.121377165407097</v>
      </c>
      <c r="I30" t="s">
        <v>350</v>
      </c>
    </row>
    <row r="31" spans="1:9" hidden="1" x14ac:dyDescent="0.25">
      <c r="A31" t="s">
        <v>337</v>
      </c>
      <c r="B31" t="s">
        <v>302</v>
      </c>
      <c r="C31" t="s">
        <v>347</v>
      </c>
      <c r="D31" t="s">
        <v>255</v>
      </c>
      <c r="F31" t="s">
        <v>333</v>
      </c>
      <c r="G31">
        <v>41.396289950107843</v>
      </c>
      <c r="I31" t="s">
        <v>350</v>
      </c>
    </row>
    <row r="32" spans="1:9" hidden="1" x14ac:dyDescent="0.25">
      <c r="A32" t="s">
        <v>337</v>
      </c>
      <c r="B32" t="s">
        <v>302</v>
      </c>
      <c r="C32" t="s">
        <v>348</v>
      </c>
      <c r="D32" t="s">
        <v>255</v>
      </c>
      <c r="F32" t="s">
        <v>332</v>
      </c>
      <c r="G32">
        <v>38.123094930796995</v>
      </c>
      <c r="I32" t="s">
        <v>350</v>
      </c>
    </row>
    <row r="33" spans="1:9" hidden="1" x14ac:dyDescent="0.25">
      <c r="A33" t="s">
        <v>337</v>
      </c>
      <c r="B33" t="s">
        <v>302</v>
      </c>
      <c r="C33" t="s">
        <v>348</v>
      </c>
      <c r="D33" t="s">
        <v>255</v>
      </c>
      <c r="F33" t="s">
        <v>333</v>
      </c>
      <c r="G33">
        <v>28.658969965459274</v>
      </c>
      <c r="I33" t="s">
        <v>350</v>
      </c>
    </row>
    <row r="34" spans="1:9" hidden="1" x14ac:dyDescent="0.25">
      <c r="A34" t="s">
        <v>338</v>
      </c>
      <c r="B34" t="s">
        <v>303</v>
      </c>
      <c r="C34" t="s">
        <v>344</v>
      </c>
      <c r="D34" t="s">
        <v>255</v>
      </c>
      <c r="F34" t="s">
        <v>332</v>
      </c>
      <c r="G34">
        <v>1890.4014015271237</v>
      </c>
      <c r="I34" t="s">
        <v>350</v>
      </c>
    </row>
    <row r="35" spans="1:9" hidden="1" x14ac:dyDescent="0.25">
      <c r="A35" t="s">
        <v>338</v>
      </c>
      <c r="B35" t="s">
        <v>303</v>
      </c>
      <c r="C35" t="s">
        <v>344</v>
      </c>
      <c r="D35" t="s">
        <v>255</v>
      </c>
      <c r="F35" t="s">
        <v>333</v>
      </c>
      <c r="G35">
        <v>1188.252309531335</v>
      </c>
      <c r="I35" t="s">
        <v>350</v>
      </c>
    </row>
    <row r="36" spans="1:9" hidden="1" x14ac:dyDescent="0.25">
      <c r="A36" t="s">
        <v>338</v>
      </c>
      <c r="B36" t="s">
        <v>303</v>
      </c>
      <c r="C36" t="s">
        <v>352</v>
      </c>
      <c r="D36" t="s">
        <v>255</v>
      </c>
      <c r="F36" t="s">
        <v>332</v>
      </c>
      <c r="G36">
        <v>2155.0575977409208</v>
      </c>
      <c r="I36" t="s">
        <v>350</v>
      </c>
    </row>
    <row r="37" spans="1:9" hidden="1" x14ac:dyDescent="0.25">
      <c r="A37" t="s">
        <v>338</v>
      </c>
      <c r="B37" t="s">
        <v>303</v>
      </c>
      <c r="C37" t="s">
        <v>352</v>
      </c>
      <c r="D37" t="s">
        <v>255</v>
      </c>
      <c r="F37" t="s">
        <v>333</v>
      </c>
      <c r="G37">
        <v>1213.0075659799043</v>
      </c>
      <c r="I37" t="s">
        <v>350</v>
      </c>
    </row>
    <row r="38" spans="1:9" hidden="1" x14ac:dyDescent="0.25">
      <c r="A38" t="s">
        <v>338</v>
      </c>
      <c r="B38" t="s">
        <v>303</v>
      </c>
      <c r="C38" t="s">
        <v>329</v>
      </c>
      <c r="D38" t="s">
        <v>255</v>
      </c>
      <c r="F38" t="s">
        <v>333</v>
      </c>
      <c r="G38">
        <v>5.1844276847491049</v>
      </c>
      <c r="I38" t="s">
        <v>350</v>
      </c>
    </row>
    <row r="39" spans="1:9" hidden="1" x14ac:dyDescent="0.25">
      <c r="A39" t="s">
        <v>338</v>
      </c>
      <c r="B39" t="s">
        <v>303</v>
      </c>
      <c r="C39" t="s">
        <v>329</v>
      </c>
      <c r="D39" t="s">
        <v>255</v>
      </c>
      <c r="F39" t="s">
        <v>332</v>
      </c>
      <c r="G39">
        <v>3.3520070907907544</v>
      </c>
      <c r="I39" t="s">
        <v>350</v>
      </c>
    </row>
    <row r="40" spans="1:9" hidden="1" x14ac:dyDescent="0.25">
      <c r="A40" t="s">
        <v>338</v>
      </c>
      <c r="B40" t="s">
        <v>303</v>
      </c>
      <c r="C40" t="s">
        <v>343</v>
      </c>
      <c r="D40" t="s">
        <v>255</v>
      </c>
      <c r="F40" t="s">
        <v>332</v>
      </c>
      <c r="G40">
        <v>938.41464445038753</v>
      </c>
      <c r="I40" t="s">
        <v>350</v>
      </c>
    </row>
    <row r="41" spans="1:9" hidden="1" x14ac:dyDescent="0.25">
      <c r="A41" t="s">
        <v>338</v>
      </c>
      <c r="B41" t="s">
        <v>303</v>
      </c>
      <c r="C41" t="s">
        <v>343</v>
      </c>
      <c r="D41" t="s">
        <v>255</v>
      </c>
      <c r="F41" t="s">
        <v>333</v>
      </c>
      <c r="G41">
        <v>489.28036274819675</v>
      </c>
      <c r="I41" t="s">
        <v>350</v>
      </c>
    </row>
    <row r="42" spans="1:9" hidden="1" x14ac:dyDescent="0.25">
      <c r="A42" t="s">
        <v>338</v>
      </c>
      <c r="B42" t="s">
        <v>303</v>
      </c>
      <c r="C42" t="s">
        <v>334</v>
      </c>
      <c r="D42" t="s">
        <v>255</v>
      </c>
      <c r="F42" t="s">
        <v>333</v>
      </c>
      <c r="G42">
        <v>310.1539926573314</v>
      </c>
      <c r="I42" t="s">
        <v>350</v>
      </c>
    </row>
    <row r="43" spans="1:9" hidden="1" x14ac:dyDescent="0.25">
      <c r="A43" t="s">
        <v>338</v>
      </c>
      <c r="B43" t="s">
        <v>303</v>
      </c>
      <c r="C43" t="s">
        <v>334</v>
      </c>
      <c r="D43" t="s">
        <v>255</v>
      </c>
      <c r="F43" t="s">
        <v>332</v>
      </c>
      <c r="G43">
        <v>257.73359953214867</v>
      </c>
      <c r="I43" t="s">
        <v>350</v>
      </c>
    </row>
    <row r="44" spans="1:9" hidden="1" x14ac:dyDescent="0.25">
      <c r="A44" t="s">
        <v>338</v>
      </c>
      <c r="B44" t="s">
        <v>303</v>
      </c>
      <c r="C44" t="s">
        <v>353</v>
      </c>
      <c r="D44" t="s">
        <v>255</v>
      </c>
      <c r="F44" t="s">
        <v>332</v>
      </c>
      <c r="G44">
        <v>914.95427833912788</v>
      </c>
      <c r="I44" t="s">
        <v>350</v>
      </c>
    </row>
    <row r="45" spans="1:9" hidden="1" x14ac:dyDescent="0.25">
      <c r="A45" t="s">
        <v>338</v>
      </c>
      <c r="B45" t="s">
        <v>303</v>
      </c>
      <c r="C45" t="s">
        <v>353</v>
      </c>
      <c r="D45" t="s">
        <v>255</v>
      </c>
      <c r="F45" t="s">
        <v>333</v>
      </c>
      <c r="G45">
        <v>687.81527917102255</v>
      </c>
      <c r="I45" t="s">
        <v>350</v>
      </c>
    </row>
    <row r="46" spans="1:9" hidden="1" x14ac:dyDescent="0.25">
      <c r="A46" t="s">
        <v>338</v>
      </c>
      <c r="B46" t="s">
        <v>303</v>
      </c>
      <c r="C46" t="s">
        <v>354</v>
      </c>
      <c r="D46" t="s">
        <v>255</v>
      </c>
      <c r="F46" t="s">
        <v>332</v>
      </c>
      <c r="G46">
        <v>1418.9130519697703</v>
      </c>
      <c r="I46" t="s">
        <v>350</v>
      </c>
    </row>
    <row r="47" spans="1:9" hidden="1" x14ac:dyDescent="0.25">
      <c r="A47" t="s">
        <v>338</v>
      </c>
      <c r="B47" t="s">
        <v>303</v>
      </c>
      <c r="C47" t="s">
        <v>354</v>
      </c>
      <c r="D47" t="s">
        <v>255</v>
      </c>
      <c r="F47" t="s">
        <v>333</v>
      </c>
      <c r="G47">
        <v>993.51095880258822</v>
      </c>
      <c r="I47" t="s">
        <v>350</v>
      </c>
    </row>
    <row r="48" spans="1:9" hidden="1" x14ac:dyDescent="0.25">
      <c r="A48" t="s">
        <v>338</v>
      </c>
      <c r="B48" t="s">
        <v>303</v>
      </c>
      <c r="C48" t="s">
        <v>355</v>
      </c>
      <c r="D48" t="s">
        <v>255</v>
      </c>
      <c r="F48" t="s">
        <v>332</v>
      </c>
      <c r="G48">
        <v>1960.6163107267027</v>
      </c>
      <c r="I48" t="s">
        <v>350</v>
      </c>
    </row>
    <row r="49" spans="1:9" hidden="1" x14ac:dyDescent="0.25">
      <c r="A49" t="s">
        <v>338</v>
      </c>
      <c r="B49" t="s">
        <v>303</v>
      </c>
      <c r="C49" t="s">
        <v>355</v>
      </c>
      <c r="D49" t="s">
        <v>255</v>
      </c>
      <c r="F49" t="s">
        <v>333</v>
      </c>
      <c r="G49">
        <v>1369.985015694951</v>
      </c>
      <c r="I49" t="s">
        <v>350</v>
      </c>
    </row>
    <row r="50" spans="1:9" hidden="1" x14ac:dyDescent="0.25">
      <c r="A50" t="s">
        <v>340</v>
      </c>
      <c r="B50" t="s">
        <v>319</v>
      </c>
      <c r="C50" t="s">
        <v>329</v>
      </c>
      <c r="D50" t="s">
        <v>255</v>
      </c>
      <c r="E50" t="s">
        <v>375</v>
      </c>
      <c r="F50" t="s">
        <v>332</v>
      </c>
      <c r="G50">
        <v>0.34739999999999999</v>
      </c>
      <c r="H50">
        <v>8.6099999999999996E-2</v>
      </c>
      <c r="I50" t="s">
        <v>350</v>
      </c>
    </row>
    <row r="51" spans="1:9" x14ac:dyDescent="0.25">
      <c r="A51" t="s">
        <v>340</v>
      </c>
      <c r="B51" t="s">
        <v>319</v>
      </c>
      <c r="C51" t="s">
        <v>329</v>
      </c>
      <c r="D51" t="s">
        <v>255</v>
      </c>
      <c r="E51" t="s">
        <v>375</v>
      </c>
      <c r="F51" t="s">
        <v>333</v>
      </c>
      <c r="G51">
        <v>0.25669999999999998</v>
      </c>
      <c r="H51">
        <v>0.1244</v>
      </c>
      <c r="I51" t="s">
        <v>350</v>
      </c>
    </row>
    <row r="52" spans="1:9" hidden="1" x14ac:dyDescent="0.25">
      <c r="A52" t="s">
        <v>340</v>
      </c>
      <c r="B52" t="s">
        <v>319</v>
      </c>
      <c r="C52" t="s">
        <v>334</v>
      </c>
      <c r="D52" t="s">
        <v>255</v>
      </c>
      <c r="E52" t="s">
        <v>375</v>
      </c>
      <c r="F52" t="s">
        <v>332</v>
      </c>
      <c r="G52">
        <v>1.4199999999999999E-2</v>
      </c>
      <c r="H52">
        <v>8.3999999999999995E-3</v>
      </c>
      <c r="I52" t="s">
        <v>350</v>
      </c>
    </row>
    <row r="53" spans="1:9" x14ac:dyDescent="0.25">
      <c r="A53" t="s">
        <v>340</v>
      </c>
      <c r="B53" t="s">
        <v>319</v>
      </c>
      <c r="C53" t="s">
        <v>334</v>
      </c>
      <c r="D53" t="s">
        <v>255</v>
      </c>
      <c r="E53" t="s">
        <v>375</v>
      </c>
      <c r="F53" t="s">
        <v>333</v>
      </c>
      <c r="G53">
        <v>1.1800000000000001E-2</v>
      </c>
      <c r="H53">
        <v>6.1000000000000004E-3</v>
      </c>
      <c r="I53" t="s">
        <v>350</v>
      </c>
    </row>
    <row r="54" spans="1:9" hidden="1" x14ac:dyDescent="0.25">
      <c r="A54" t="s">
        <v>340</v>
      </c>
      <c r="B54" t="s">
        <v>319</v>
      </c>
      <c r="C54" t="s">
        <v>343</v>
      </c>
      <c r="D54" t="s">
        <v>255</v>
      </c>
      <c r="E54" t="s">
        <v>375</v>
      </c>
      <c r="F54" t="s">
        <v>332</v>
      </c>
      <c r="G54">
        <v>3.8999999999999998E-3</v>
      </c>
      <c r="H54">
        <v>1.9E-3</v>
      </c>
      <c r="I54" t="s">
        <v>350</v>
      </c>
    </row>
    <row r="55" spans="1:9" x14ac:dyDescent="0.25">
      <c r="A55" t="s">
        <v>340</v>
      </c>
      <c r="B55" t="s">
        <v>319</v>
      </c>
      <c r="C55" t="s">
        <v>343</v>
      </c>
      <c r="D55" t="s">
        <v>255</v>
      </c>
      <c r="E55" t="s">
        <v>375</v>
      </c>
      <c r="F55" t="s">
        <v>333</v>
      </c>
      <c r="G55">
        <v>5.0999999999999995E-3</v>
      </c>
      <c r="H55">
        <v>2.3E-3</v>
      </c>
      <c r="I55" t="s">
        <v>350</v>
      </c>
    </row>
    <row r="56" spans="1:9" hidden="1" x14ac:dyDescent="0.25">
      <c r="A56" t="s">
        <v>340</v>
      </c>
      <c r="B56" t="s">
        <v>319</v>
      </c>
      <c r="C56" t="s">
        <v>344</v>
      </c>
      <c r="D56" t="s">
        <v>255</v>
      </c>
      <c r="E56" t="s">
        <v>375</v>
      </c>
      <c r="F56" t="s">
        <v>332</v>
      </c>
      <c r="G56">
        <v>2.2000000000000001E-3</v>
      </c>
      <c r="H56">
        <v>8.9999999999999998E-4</v>
      </c>
      <c r="I56" t="s">
        <v>350</v>
      </c>
    </row>
    <row r="57" spans="1:9" x14ac:dyDescent="0.25">
      <c r="A57" t="s">
        <v>340</v>
      </c>
      <c r="B57" t="s">
        <v>319</v>
      </c>
      <c r="C57" t="s">
        <v>344</v>
      </c>
      <c r="D57" t="s">
        <v>255</v>
      </c>
      <c r="E57" t="s">
        <v>375</v>
      </c>
      <c r="F57" t="s">
        <v>333</v>
      </c>
      <c r="G57">
        <v>2.8E-3</v>
      </c>
      <c r="H57">
        <v>1.1999999999999999E-3</v>
      </c>
      <c r="I57" t="s">
        <v>350</v>
      </c>
    </row>
    <row r="58" spans="1:9" hidden="1" x14ac:dyDescent="0.25">
      <c r="A58" t="s">
        <v>340</v>
      </c>
      <c r="B58" t="s">
        <v>319</v>
      </c>
      <c r="C58" t="s">
        <v>345</v>
      </c>
      <c r="D58" t="s">
        <v>255</v>
      </c>
      <c r="E58" t="s">
        <v>375</v>
      </c>
      <c r="F58" t="s">
        <v>332</v>
      </c>
      <c r="G58">
        <v>2.8E-3</v>
      </c>
      <c r="H58">
        <v>1E-3</v>
      </c>
      <c r="I58" t="s">
        <v>350</v>
      </c>
    </row>
    <row r="59" spans="1:9" x14ac:dyDescent="0.25">
      <c r="A59" t="s">
        <v>340</v>
      </c>
      <c r="B59" t="s">
        <v>319</v>
      </c>
      <c r="C59" t="s">
        <v>345</v>
      </c>
      <c r="D59" t="s">
        <v>255</v>
      </c>
      <c r="E59" t="s">
        <v>375</v>
      </c>
      <c r="F59" t="s">
        <v>333</v>
      </c>
      <c r="G59">
        <v>3.3999999999999998E-3</v>
      </c>
      <c r="H59">
        <v>1.5E-3</v>
      </c>
      <c r="I59" t="s">
        <v>350</v>
      </c>
    </row>
    <row r="60" spans="1:9" hidden="1" x14ac:dyDescent="0.25">
      <c r="A60" t="s">
        <v>340</v>
      </c>
      <c r="B60" t="s">
        <v>319</v>
      </c>
      <c r="C60" t="s">
        <v>346</v>
      </c>
      <c r="D60" t="s">
        <v>255</v>
      </c>
      <c r="E60" t="s">
        <v>375</v>
      </c>
      <c r="F60" t="s">
        <v>332</v>
      </c>
      <c r="G60">
        <v>4.4000000000000003E-3</v>
      </c>
      <c r="H60">
        <v>1.6000000000000001E-3</v>
      </c>
      <c r="I60" t="s">
        <v>350</v>
      </c>
    </row>
    <row r="61" spans="1:9" x14ac:dyDescent="0.25">
      <c r="A61" t="s">
        <v>340</v>
      </c>
      <c r="B61" t="s">
        <v>319</v>
      </c>
      <c r="C61" t="s">
        <v>346</v>
      </c>
      <c r="D61" t="s">
        <v>255</v>
      </c>
      <c r="E61" t="s">
        <v>375</v>
      </c>
      <c r="F61" t="s">
        <v>333</v>
      </c>
      <c r="G61">
        <v>4.7999999999999996E-3</v>
      </c>
      <c r="H61">
        <v>2.3999999999999998E-3</v>
      </c>
      <c r="I61" t="s">
        <v>350</v>
      </c>
    </row>
    <row r="62" spans="1:9" hidden="1" x14ac:dyDescent="0.25">
      <c r="A62" t="s">
        <v>340</v>
      </c>
      <c r="B62" t="s">
        <v>319</v>
      </c>
      <c r="C62" t="s">
        <v>347</v>
      </c>
      <c r="D62" t="s">
        <v>255</v>
      </c>
      <c r="E62" t="s">
        <v>375</v>
      </c>
      <c r="F62" t="s">
        <v>332</v>
      </c>
      <c r="G62">
        <v>6.7999999999999996E-3</v>
      </c>
      <c r="H62">
        <v>2.5000000000000001E-3</v>
      </c>
      <c r="I62" t="s">
        <v>350</v>
      </c>
    </row>
    <row r="63" spans="1:9" x14ac:dyDescent="0.25">
      <c r="A63" t="s">
        <v>340</v>
      </c>
      <c r="B63" t="s">
        <v>319</v>
      </c>
      <c r="C63" t="s">
        <v>347</v>
      </c>
      <c r="D63" t="s">
        <v>255</v>
      </c>
      <c r="E63" t="s">
        <v>375</v>
      </c>
      <c r="F63" t="s">
        <v>333</v>
      </c>
      <c r="G63">
        <v>7.2000000000000007E-3</v>
      </c>
      <c r="H63">
        <v>3.2000000000000002E-3</v>
      </c>
      <c r="I63" t="s">
        <v>350</v>
      </c>
    </row>
    <row r="64" spans="1:9" hidden="1" x14ac:dyDescent="0.25">
      <c r="A64" t="s">
        <v>340</v>
      </c>
      <c r="B64" t="s">
        <v>319</v>
      </c>
      <c r="C64" t="s">
        <v>348</v>
      </c>
      <c r="D64" t="s">
        <v>255</v>
      </c>
      <c r="E64" t="s">
        <v>375</v>
      </c>
      <c r="F64" t="s">
        <v>332</v>
      </c>
      <c r="G64">
        <v>0.01</v>
      </c>
      <c r="H64">
        <v>4.5999999999999999E-3</v>
      </c>
      <c r="I64" t="s">
        <v>350</v>
      </c>
    </row>
    <row r="65" spans="1:9" x14ac:dyDescent="0.25">
      <c r="A65" t="s">
        <v>340</v>
      </c>
      <c r="B65" t="s">
        <v>319</v>
      </c>
      <c r="C65" t="s">
        <v>348</v>
      </c>
      <c r="D65" t="s">
        <v>255</v>
      </c>
      <c r="E65" t="s">
        <v>375</v>
      </c>
      <c r="F65" t="s">
        <v>333</v>
      </c>
      <c r="G65">
        <v>1.0400000000000001E-2</v>
      </c>
      <c r="H65">
        <v>6.0000000000000001E-3</v>
      </c>
      <c r="I65" t="s">
        <v>350</v>
      </c>
    </row>
    <row r="66" spans="1:9" hidden="1" x14ac:dyDescent="0.25">
      <c r="A66" t="s">
        <v>340</v>
      </c>
      <c r="B66" t="s">
        <v>319</v>
      </c>
      <c r="C66" t="s">
        <v>329</v>
      </c>
      <c r="D66" t="s">
        <v>255</v>
      </c>
      <c r="E66" t="s">
        <v>374</v>
      </c>
      <c r="F66" t="s">
        <v>332</v>
      </c>
      <c r="G66">
        <v>0.29249999999999998</v>
      </c>
      <c r="H66">
        <v>0.15379999999999999</v>
      </c>
      <c r="I66" t="s">
        <v>350</v>
      </c>
    </row>
    <row r="67" spans="1:9" x14ac:dyDescent="0.25">
      <c r="A67" t="s">
        <v>340</v>
      </c>
      <c r="B67" t="s">
        <v>319</v>
      </c>
      <c r="C67" t="s">
        <v>329</v>
      </c>
      <c r="D67" t="s">
        <v>255</v>
      </c>
      <c r="E67" t="s">
        <v>374</v>
      </c>
      <c r="F67" t="s">
        <v>333</v>
      </c>
      <c r="G67">
        <v>0.19020000000000001</v>
      </c>
      <c r="H67">
        <v>2.1700000000000001E-2</v>
      </c>
      <c r="I67" t="s">
        <v>350</v>
      </c>
    </row>
    <row r="68" spans="1:9" hidden="1" x14ac:dyDescent="0.25">
      <c r="A68" t="s">
        <v>340</v>
      </c>
      <c r="B68" t="s">
        <v>319</v>
      </c>
      <c r="C68" t="s">
        <v>334</v>
      </c>
      <c r="D68" t="s">
        <v>255</v>
      </c>
      <c r="E68" t="s">
        <v>374</v>
      </c>
      <c r="F68" t="s">
        <v>332</v>
      </c>
      <c r="G68">
        <v>1.3100000000000001E-2</v>
      </c>
      <c r="H68">
        <v>7.4000000000000003E-3</v>
      </c>
      <c r="I68" t="s">
        <v>350</v>
      </c>
    </row>
    <row r="69" spans="1:9" x14ac:dyDescent="0.25">
      <c r="A69" t="s">
        <v>340</v>
      </c>
      <c r="B69" t="s">
        <v>319</v>
      </c>
      <c r="C69" t="s">
        <v>334</v>
      </c>
      <c r="D69" t="s">
        <v>255</v>
      </c>
      <c r="E69" t="s">
        <v>374</v>
      </c>
      <c r="F69" t="s">
        <v>333</v>
      </c>
      <c r="G69">
        <v>8.9999999999999993E-3</v>
      </c>
      <c r="H69">
        <v>1.5E-3</v>
      </c>
      <c r="I69" t="s">
        <v>350</v>
      </c>
    </row>
    <row r="70" spans="1:9" hidden="1" x14ac:dyDescent="0.25">
      <c r="A70" t="s">
        <v>340</v>
      </c>
      <c r="B70" t="s">
        <v>319</v>
      </c>
      <c r="C70" t="s">
        <v>343</v>
      </c>
      <c r="D70" t="s">
        <v>255</v>
      </c>
      <c r="E70" t="s">
        <v>374</v>
      </c>
      <c r="F70" t="s">
        <v>332</v>
      </c>
      <c r="G70">
        <v>4.0000000000000001E-3</v>
      </c>
      <c r="H70">
        <v>1.6999999999999999E-3</v>
      </c>
      <c r="I70" t="s">
        <v>350</v>
      </c>
    </row>
    <row r="71" spans="1:9" x14ac:dyDescent="0.25">
      <c r="A71" t="s">
        <v>340</v>
      </c>
      <c r="B71" t="s">
        <v>319</v>
      </c>
      <c r="C71" t="s">
        <v>343</v>
      </c>
      <c r="D71" t="s">
        <v>255</v>
      </c>
      <c r="E71" t="s">
        <v>374</v>
      </c>
      <c r="F71" t="s">
        <v>333</v>
      </c>
      <c r="G71">
        <v>2.3999999999999998E-3</v>
      </c>
      <c r="H71">
        <v>1E-3</v>
      </c>
      <c r="I71" t="s">
        <v>350</v>
      </c>
    </row>
    <row r="72" spans="1:9" hidden="1" x14ac:dyDescent="0.25">
      <c r="A72" t="s">
        <v>340</v>
      </c>
      <c r="B72" t="s">
        <v>319</v>
      </c>
      <c r="C72" t="s">
        <v>344</v>
      </c>
      <c r="D72" t="s">
        <v>255</v>
      </c>
      <c r="E72" t="s">
        <v>374</v>
      </c>
      <c r="F72" t="s">
        <v>332</v>
      </c>
      <c r="G72">
        <v>3.8999999999999998E-3</v>
      </c>
      <c r="H72">
        <v>1.8E-3</v>
      </c>
      <c r="I72" t="s">
        <v>350</v>
      </c>
    </row>
    <row r="73" spans="1:9" x14ac:dyDescent="0.25">
      <c r="A73" t="s">
        <v>340</v>
      </c>
      <c r="B73" t="s">
        <v>319</v>
      </c>
      <c r="C73" t="s">
        <v>344</v>
      </c>
      <c r="D73" t="s">
        <v>255</v>
      </c>
      <c r="E73" t="s">
        <v>374</v>
      </c>
      <c r="F73" t="s">
        <v>333</v>
      </c>
      <c r="G73">
        <v>2E-3</v>
      </c>
      <c r="H73">
        <v>1.1000000000000001E-3</v>
      </c>
      <c r="I73" t="s">
        <v>350</v>
      </c>
    </row>
    <row r="74" spans="1:9" hidden="1" x14ac:dyDescent="0.25">
      <c r="A74" t="s">
        <v>340</v>
      </c>
      <c r="B74" t="s">
        <v>319</v>
      </c>
      <c r="C74" t="s">
        <v>345</v>
      </c>
      <c r="D74" t="s">
        <v>255</v>
      </c>
      <c r="E74" t="s">
        <v>374</v>
      </c>
      <c r="F74" t="s">
        <v>332</v>
      </c>
      <c r="G74">
        <v>5.7000000000000002E-3</v>
      </c>
      <c r="H74">
        <v>2.5999999999999999E-3</v>
      </c>
      <c r="I74" t="s">
        <v>350</v>
      </c>
    </row>
    <row r="75" spans="1:9" x14ac:dyDescent="0.25">
      <c r="A75" t="s">
        <v>340</v>
      </c>
      <c r="B75" t="s">
        <v>319</v>
      </c>
      <c r="C75" t="s">
        <v>345</v>
      </c>
      <c r="D75" t="s">
        <v>255</v>
      </c>
      <c r="E75" t="s">
        <v>374</v>
      </c>
      <c r="F75" t="s">
        <v>333</v>
      </c>
      <c r="G75">
        <v>3.0999999999999999E-3</v>
      </c>
      <c r="H75">
        <v>1.6999999999999999E-3</v>
      </c>
      <c r="I75" t="s">
        <v>350</v>
      </c>
    </row>
    <row r="76" spans="1:9" hidden="1" x14ac:dyDescent="0.25">
      <c r="A76" t="s">
        <v>340</v>
      </c>
      <c r="B76" t="s">
        <v>319</v>
      </c>
      <c r="C76" t="s">
        <v>346</v>
      </c>
      <c r="D76" t="s">
        <v>255</v>
      </c>
      <c r="E76" t="s">
        <v>374</v>
      </c>
      <c r="F76" t="s">
        <v>332</v>
      </c>
      <c r="G76">
        <v>9.4000000000000004E-3</v>
      </c>
      <c r="H76">
        <v>4.1000000000000003E-3</v>
      </c>
      <c r="I76" t="s">
        <v>350</v>
      </c>
    </row>
    <row r="77" spans="1:9" x14ac:dyDescent="0.25">
      <c r="A77" t="s">
        <v>340</v>
      </c>
      <c r="B77" t="s">
        <v>319</v>
      </c>
      <c r="C77" t="s">
        <v>346</v>
      </c>
      <c r="D77" t="s">
        <v>255</v>
      </c>
      <c r="E77" t="s">
        <v>374</v>
      </c>
      <c r="F77" t="s">
        <v>333</v>
      </c>
      <c r="G77">
        <v>5.1999999999999998E-3</v>
      </c>
      <c r="H77">
        <v>3.2000000000000002E-3</v>
      </c>
      <c r="I77" t="s">
        <v>350</v>
      </c>
    </row>
    <row r="78" spans="1:9" hidden="1" x14ac:dyDescent="0.25">
      <c r="A78" t="s">
        <v>340</v>
      </c>
      <c r="B78" t="s">
        <v>319</v>
      </c>
      <c r="C78" t="s">
        <v>347</v>
      </c>
      <c r="D78" t="s">
        <v>255</v>
      </c>
      <c r="E78" t="s">
        <v>374</v>
      </c>
      <c r="F78" t="s">
        <v>332</v>
      </c>
      <c r="G78">
        <v>3.4200000000000001E-2</v>
      </c>
      <c r="H78">
        <v>1.7600000000000001E-2</v>
      </c>
      <c r="I78" t="s">
        <v>350</v>
      </c>
    </row>
    <row r="79" spans="1:9" x14ac:dyDescent="0.25">
      <c r="A79" t="s">
        <v>340</v>
      </c>
      <c r="B79" t="s">
        <v>319</v>
      </c>
      <c r="C79" t="s">
        <v>347</v>
      </c>
      <c r="D79" t="s">
        <v>255</v>
      </c>
      <c r="E79" t="s">
        <v>374</v>
      </c>
      <c r="F79" t="s">
        <v>333</v>
      </c>
      <c r="G79">
        <v>1.7100000000000001E-2</v>
      </c>
      <c r="H79">
        <v>1.2E-2</v>
      </c>
      <c r="I79" t="s">
        <v>350</v>
      </c>
    </row>
    <row r="80" spans="1:9" hidden="1" x14ac:dyDescent="0.25">
      <c r="A80" t="s">
        <v>340</v>
      </c>
      <c r="B80" t="s">
        <v>319</v>
      </c>
      <c r="C80" t="s">
        <v>348</v>
      </c>
      <c r="D80" t="s">
        <v>255</v>
      </c>
      <c r="E80" t="s">
        <v>374</v>
      </c>
      <c r="F80" t="s">
        <v>332</v>
      </c>
      <c r="G80">
        <v>0.10630000000000001</v>
      </c>
      <c r="H80">
        <v>4.6600000000000001E-3</v>
      </c>
      <c r="I80" t="s">
        <v>350</v>
      </c>
    </row>
    <row r="81" spans="1:9" x14ac:dyDescent="0.25">
      <c r="A81" t="s">
        <v>340</v>
      </c>
      <c r="B81" t="s">
        <v>319</v>
      </c>
      <c r="C81" t="s">
        <v>348</v>
      </c>
      <c r="D81" t="s">
        <v>255</v>
      </c>
      <c r="E81" t="s">
        <v>374</v>
      </c>
      <c r="F81" t="s">
        <v>333</v>
      </c>
      <c r="G81">
        <v>4.87E-2</v>
      </c>
      <c r="H81">
        <v>3.81E-3</v>
      </c>
      <c r="I81" t="s">
        <v>350</v>
      </c>
    </row>
    <row r="82" spans="1:9" hidden="1" x14ac:dyDescent="0.25">
      <c r="A82" t="s">
        <v>341</v>
      </c>
      <c r="B82" t="s">
        <v>316</v>
      </c>
      <c r="C82" t="s">
        <v>329</v>
      </c>
      <c r="D82" t="s">
        <v>255</v>
      </c>
      <c r="E82" t="s">
        <v>374</v>
      </c>
      <c r="F82" t="s">
        <v>332</v>
      </c>
      <c r="G82">
        <v>347.4</v>
      </c>
      <c r="I82" t="s">
        <v>350</v>
      </c>
    </row>
    <row r="83" spans="1:9" hidden="1" x14ac:dyDescent="0.25">
      <c r="A83" t="s">
        <v>341</v>
      </c>
      <c r="B83" t="s">
        <v>316</v>
      </c>
      <c r="C83" t="s">
        <v>329</v>
      </c>
      <c r="D83" t="s">
        <v>255</v>
      </c>
      <c r="E83" t="s">
        <v>374</v>
      </c>
      <c r="F83" t="s">
        <v>333</v>
      </c>
      <c r="G83">
        <v>256.7</v>
      </c>
      <c r="I83" t="s">
        <v>350</v>
      </c>
    </row>
    <row r="84" spans="1:9" hidden="1" x14ac:dyDescent="0.25">
      <c r="A84" t="s">
        <v>341</v>
      </c>
      <c r="B84" t="s">
        <v>316</v>
      </c>
      <c r="C84" t="s">
        <v>334</v>
      </c>
      <c r="D84" t="s">
        <v>255</v>
      </c>
      <c r="E84" t="s">
        <v>374</v>
      </c>
      <c r="F84" t="s">
        <v>332</v>
      </c>
      <c r="G84">
        <v>14.2</v>
      </c>
      <c r="I84" t="s">
        <v>350</v>
      </c>
    </row>
    <row r="85" spans="1:9" hidden="1" x14ac:dyDescent="0.25">
      <c r="A85" t="s">
        <v>341</v>
      </c>
      <c r="B85" t="s">
        <v>316</v>
      </c>
      <c r="C85" t="s">
        <v>334</v>
      </c>
      <c r="D85" t="s">
        <v>255</v>
      </c>
      <c r="E85" t="s">
        <v>374</v>
      </c>
      <c r="F85" t="s">
        <v>333</v>
      </c>
      <c r="G85">
        <v>11.8</v>
      </c>
      <c r="I85" t="s">
        <v>350</v>
      </c>
    </row>
    <row r="86" spans="1:9" hidden="1" x14ac:dyDescent="0.25">
      <c r="A86" t="s">
        <v>341</v>
      </c>
      <c r="B86" t="s">
        <v>316</v>
      </c>
      <c r="C86" t="s">
        <v>343</v>
      </c>
      <c r="D86" t="s">
        <v>255</v>
      </c>
      <c r="E86" t="s">
        <v>374</v>
      </c>
      <c r="F86" t="s">
        <v>332</v>
      </c>
      <c r="G86">
        <v>3.9</v>
      </c>
      <c r="I86" t="s">
        <v>350</v>
      </c>
    </row>
    <row r="87" spans="1:9" hidden="1" x14ac:dyDescent="0.25">
      <c r="A87" t="s">
        <v>341</v>
      </c>
      <c r="B87" t="s">
        <v>316</v>
      </c>
      <c r="C87" t="s">
        <v>343</v>
      </c>
      <c r="D87" t="s">
        <v>255</v>
      </c>
      <c r="E87" t="s">
        <v>374</v>
      </c>
      <c r="F87" t="s">
        <v>333</v>
      </c>
      <c r="G87">
        <v>5.0999999999999996</v>
      </c>
      <c r="I87" t="s">
        <v>350</v>
      </c>
    </row>
    <row r="88" spans="1:9" hidden="1" x14ac:dyDescent="0.25">
      <c r="A88" t="s">
        <v>341</v>
      </c>
      <c r="B88" t="s">
        <v>316</v>
      </c>
      <c r="C88" t="s">
        <v>344</v>
      </c>
      <c r="D88" t="s">
        <v>255</v>
      </c>
      <c r="E88" t="s">
        <v>374</v>
      </c>
      <c r="F88" t="s">
        <v>332</v>
      </c>
      <c r="G88">
        <v>2.2000000000000002</v>
      </c>
      <c r="I88" t="s">
        <v>350</v>
      </c>
    </row>
    <row r="89" spans="1:9" hidden="1" x14ac:dyDescent="0.25">
      <c r="A89" t="s">
        <v>341</v>
      </c>
      <c r="B89" t="s">
        <v>316</v>
      </c>
      <c r="C89" t="s">
        <v>344</v>
      </c>
      <c r="D89" t="s">
        <v>255</v>
      </c>
      <c r="E89" t="s">
        <v>374</v>
      </c>
      <c r="F89" t="s">
        <v>333</v>
      </c>
      <c r="G89">
        <v>2.8</v>
      </c>
      <c r="I89" t="s">
        <v>350</v>
      </c>
    </row>
    <row r="90" spans="1:9" hidden="1" x14ac:dyDescent="0.25">
      <c r="A90" t="s">
        <v>341</v>
      </c>
      <c r="B90" t="s">
        <v>316</v>
      </c>
      <c r="C90" t="s">
        <v>345</v>
      </c>
      <c r="D90" t="s">
        <v>255</v>
      </c>
      <c r="E90" t="s">
        <v>374</v>
      </c>
      <c r="F90" t="s">
        <v>332</v>
      </c>
      <c r="G90">
        <v>2.8</v>
      </c>
      <c r="I90" t="s">
        <v>350</v>
      </c>
    </row>
    <row r="91" spans="1:9" hidden="1" x14ac:dyDescent="0.25">
      <c r="A91" t="s">
        <v>341</v>
      </c>
      <c r="B91" t="s">
        <v>316</v>
      </c>
      <c r="C91" t="s">
        <v>345</v>
      </c>
      <c r="D91" t="s">
        <v>255</v>
      </c>
      <c r="E91" t="s">
        <v>374</v>
      </c>
      <c r="F91" t="s">
        <v>333</v>
      </c>
      <c r="G91">
        <v>3.4</v>
      </c>
      <c r="I91" t="s">
        <v>350</v>
      </c>
    </row>
    <row r="92" spans="1:9" hidden="1" x14ac:dyDescent="0.25">
      <c r="A92" t="s">
        <v>341</v>
      </c>
      <c r="B92" t="s">
        <v>316</v>
      </c>
      <c r="C92" t="s">
        <v>346</v>
      </c>
      <c r="D92" t="s">
        <v>255</v>
      </c>
      <c r="E92" t="s">
        <v>374</v>
      </c>
      <c r="F92" t="s">
        <v>332</v>
      </c>
      <c r="G92">
        <v>4.4000000000000004</v>
      </c>
      <c r="I92" t="s">
        <v>350</v>
      </c>
    </row>
    <row r="93" spans="1:9" hidden="1" x14ac:dyDescent="0.25">
      <c r="A93" t="s">
        <v>341</v>
      </c>
      <c r="B93" t="s">
        <v>316</v>
      </c>
      <c r="C93" t="s">
        <v>346</v>
      </c>
      <c r="D93" t="s">
        <v>255</v>
      </c>
      <c r="E93" t="s">
        <v>374</v>
      </c>
      <c r="F93" t="s">
        <v>333</v>
      </c>
      <c r="G93">
        <v>4.8</v>
      </c>
      <c r="I93" t="s">
        <v>350</v>
      </c>
    </row>
    <row r="94" spans="1:9" hidden="1" x14ac:dyDescent="0.25">
      <c r="A94" t="s">
        <v>341</v>
      </c>
      <c r="B94" t="s">
        <v>316</v>
      </c>
      <c r="C94" t="s">
        <v>347</v>
      </c>
      <c r="D94" t="s">
        <v>255</v>
      </c>
      <c r="E94" t="s">
        <v>374</v>
      </c>
      <c r="F94" t="s">
        <v>332</v>
      </c>
      <c r="G94">
        <v>6.8</v>
      </c>
      <c r="I94" t="s">
        <v>350</v>
      </c>
    </row>
    <row r="95" spans="1:9" hidden="1" x14ac:dyDescent="0.25">
      <c r="A95" t="s">
        <v>341</v>
      </c>
      <c r="B95" t="s">
        <v>316</v>
      </c>
      <c r="C95" t="s">
        <v>347</v>
      </c>
      <c r="D95" t="s">
        <v>255</v>
      </c>
      <c r="E95" t="s">
        <v>374</v>
      </c>
      <c r="F95" t="s">
        <v>333</v>
      </c>
      <c r="G95">
        <v>7.2</v>
      </c>
      <c r="I95" t="s">
        <v>350</v>
      </c>
    </row>
    <row r="96" spans="1:9" hidden="1" x14ac:dyDescent="0.25">
      <c r="A96" t="s">
        <v>341</v>
      </c>
      <c r="B96" t="s">
        <v>316</v>
      </c>
      <c r="C96" t="s">
        <v>348</v>
      </c>
      <c r="D96" t="s">
        <v>255</v>
      </c>
      <c r="E96" t="s">
        <v>374</v>
      </c>
      <c r="F96" t="s">
        <v>332</v>
      </c>
      <c r="G96">
        <v>10</v>
      </c>
      <c r="I96" t="s">
        <v>350</v>
      </c>
    </row>
    <row r="97" spans="1:9" hidden="1" x14ac:dyDescent="0.25">
      <c r="A97" t="s">
        <v>341</v>
      </c>
      <c r="B97" t="s">
        <v>316</v>
      </c>
      <c r="C97" t="s">
        <v>348</v>
      </c>
      <c r="D97" t="s">
        <v>255</v>
      </c>
      <c r="E97" t="s">
        <v>374</v>
      </c>
      <c r="F97" t="s">
        <v>333</v>
      </c>
      <c r="G97">
        <v>10.4</v>
      </c>
      <c r="I97" t="s">
        <v>350</v>
      </c>
    </row>
    <row r="98" spans="1:9" hidden="1" x14ac:dyDescent="0.25">
      <c r="A98" t="s">
        <v>339</v>
      </c>
      <c r="B98" t="s">
        <v>318</v>
      </c>
      <c r="C98" t="s">
        <v>329</v>
      </c>
      <c r="D98" t="s">
        <v>255</v>
      </c>
      <c r="E98" t="s">
        <v>375</v>
      </c>
      <c r="F98" t="s">
        <v>332</v>
      </c>
      <c r="G98">
        <v>7.0000000000000007E-2</v>
      </c>
      <c r="I98" t="s">
        <v>350</v>
      </c>
    </row>
    <row r="99" spans="1:9" hidden="1" x14ac:dyDescent="0.25">
      <c r="A99" t="s">
        <v>339</v>
      </c>
      <c r="B99" t="s">
        <v>318</v>
      </c>
      <c r="C99" t="s">
        <v>329</v>
      </c>
      <c r="D99" t="s">
        <v>255</v>
      </c>
      <c r="E99" t="s">
        <v>375</v>
      </c>
      <c r="F99" t="s">
        <v>333</v>
      </c>
      <c r="G99">
        <v>0.08</v>
      </c>
      <c r="I99" t="s">
        <v>350</v>
      </c>
    </row>
    <row r="100" spans="1:9" hidden="1" x14ac:dyDescent="0.25">
      <c r="A100" t="s">
        <v>339</v>
      </c>
      <c r="B100" t="s">
        <v>318</v>
      </c>
      <c r="C100" t="s">
        <v>334</v>
      </c>
      <c r="D100" t="s">
        <v>255</v>
      </c>
      <c r="E100" t="s">
        <v>375</v>
      </c>
      <c r="F100" t="s">
        <v>332</v>
      </c>
      <c r="G100">
        <v>0.22</v>
      </c>
      <c r="I100" t="s">
        <v>350</v>
      </c>
    </row>
    <row r="101" spans="1:9" hidden="1" x14ac:dyDescent="0.25">
      <c r="A101" t="s">
        <v>339</v>
      </c>
      <c r="B101" t="s">
        <v>318</v>
      </c>
      <c r="C101" t="s">
        <v>334</v>
      </c>
      <c r="D101" t="s">
        <v>255</v>
      </c>
      <c r="E101" t="s">
        <v>375</v>
      </c>
      <c r="F101" t="s">
        <v>333</v>
      </c>
      <c r="G101">
        <v>0.22</v>
      </c>
      <c r="I101" t="s">
        <v>350</v>
      </c>
    </row>
    <row r="102" spans="1:9" hidden="1" x14ac:dyDescent="0.25">
      <c r="A102" t="s">
        <v>339</v>
      </c>
      <c r="B102" t="s">
        <v>318</v>
      </c>
      <c r="C102" t="s">
        <v>343</v>
      </c>
      <c r="D102" t="s">
        <v>255</v>
      </c>
      <c r="E102" t="s">
        <v>375</v>
      </c>
      <c r="F102" t="s">
        <v>332</v>
      </c>
      <c r="G102">
        <v>0.22</v>
      </c>
      <c r="I102" t="s">
        <v>350</v>
      </c>
    </row>
    <row r="103" spans="1:9" hidden="1" x14ac:dyDescent="0.25">
      <c r="A103" t="s">
        <v>339</v>
      </c>
      <c r="B103" t="s">
        <v>318</v>
      </c>
      <c r="C103" t="s">
        <v>343</v>
      </c>
      <c r="D103" t="s">
        <v>255</v>
      </c>
      <c r="E103" t="s">
        <v>375</v>
      </c>
      <c r="F103" t="s">
        <v>333</v>
      </c>
      <c r="G103">
        <v>0.15</v>
      </c>
      <c r="I103" t="s">
        <v>350</v>
      </c>
    </row>
    <row r="104" spans="1:9" hidden="1" x14ac:dyDescent="0.25">
      <c r="A104" t="s">
        <v>339</v>
      </c>
      <c r="B104" t="s">
        <v>318</v>
      </c>
      <c r="C104" t="s">
        <v>344</v>
      </c>
      <c r="D104" t="s">
        <v>255</v>
      </c>
      <c r="E104" t="s">
        <v>375</v>
      </c>
      <c r="F104" t="s">
        <v>332</v>
      </c>
      <c r="G104">
        <v>0.25</v>
      </c>
      <c r="I104" t="s">
        <v>350</v>
      </c>
    </row>
    <row r="105" spans="1:9" hidden="1" x14ac:dyDescent="0.25">
      <c r="A105" t="s">
        <v>339</v>
      </c>
      <c r="B105" t="s">
        <v>318</v>
      </c>
      <c r="C105" t="s">
        <v>344</v>
      </c>
      <c r="D105" t="s">
        <v>255</v>
      </c>
      <c r="E105" t="s">
        <v>375</v>
      </c>
      <c r="F105" t="s">
        <v>333</v>
      </c>
      <c r="G105">
        <v>0.2</v>
      </c>
      <c r="I105" t="s">
        <v>350</v>
      </c>
    </row>
    <row r="106" spans="1:9" hidden="1" x14ac:dyDescent="0.25">
      <c r="A106" t="s">
        <v>339</v>
      </c>
      <c r="B106" t="s">
        <v>318</v>
      </c>
      <c r="C106" t="s">
        <v>345</v>
      </c>
      <c r="D106" t="s">
        <v>255</v>
      </c>
      <c r="E106" t="s">
        <v>375</v>
      </c>
      <c r="F106" t="s">
        <v>332</v>
      </c>
      <c r="G106">
        <v>0.33</v>
      </c>
      <c r="I106" t="s">
        <v>350</v>
      </c>
    </row>
    <row r="107" spans="1:9" hidden="1" x14ac:dyDescent="0.25">
      <c r="A107" t="s">
        <v>339</v>
      </c>
      <c r="B107" t="s">
        <v>318</v>
      </c>
      <c r="C107" t="s">
        <v>345</v>
      </c>
      <c r="D107" t="s">
        <v>255</v>
      </c>
      <c r="E107" t="s">
        <v>375</v>
      </c>
      <c r="F107" t="s">
        <v>333</v>
      </c>
      <c r="G107">
        <v>0.28000000000000003</v>
      </c>
      <c r="I107" t="s">
        <v>350</v>
      </c>
    </row>
    <row r="108" spans="1:9" hidden="1" x14ac:dyDescent="0.25">
      <c r="A108" t="s">
        <v>339</v>
      </c>
      <c r="B108" t="s">
        <v>318</v>
      </c>
      <c r="C108" t="s">
        <v>346</v>
      </c>
      <c r="D108" t="s">
        <v>255</v>
      </c>
      <c r="E108" t="s">
        <v>375</v>
      </c>
      <c r="F108" t="s">
        <v>332</v>
      </c>
      <c r="G108">
        <v>0.56999999999999995</v>
      </c>
      <c r="I108" t="s">
        <v>350</v>
      </c>
    </row>
    <row r="109" spans="1:9" hidden="1" x14ac:dyDescent="0.25">
      <c r="A109" t="s">
        <v>339</v>
      </c>
      <c r="B109" t="s">
        <v>318</v>
      </c>
      <c r="C109" t="s">
        <v>346</v>
      </c>
      <c r="D109" t="s">
        <v>255</v>
      </c>
      <c r="E109" t="s">
        <v>375</v>
      </c>
      <c r="F109" t="s">
        <v>333</v>
      </c>
      <c r="G109">
        <v>0.35</v>
      </c>
      <c r="I109" t="s">
        <v>350</v>
      </c>
    </row>
    <row r="110" spans="1:9" hidden="1" x14ac:dyDescent="0.25">
      <c r="A110" t="s">
        <v>339</v>
      </c>
      <c r="B110" t="s">
        <v>318</v>
      </c>
      <c r="C110" t="s">
        <v>347</v>
      </c>
      <c r="D110" t="s">
        <v>255</v>
      </c>
      <c r="E110" t="s">
        <v>375</v>
      </c>
      <c r="F110" t="s">
        <v>332</v>
      </c>
      <c r="G110">
        <v>0.57999999999999996</v>
      </c>
      <c r="I110" t="s">
        <v>350</v>
      </c>
    </row>
    <row r="111" spans="1:9" hidden="1" x14ac:dyDescent="0.25">
      <c r="A111" t="s">
        <v>339</v>
      </c>
      <c r="B111" t="s">
        <v>318</v>
      </c>
      <c r="C111" t="s">
        <v>347</v>
      </c>
      <c r="D111" t="s">
        <v>255</v>
      </c>
      <c r="E111" t="s">
        <v>375</v>
      </c>
      <c r="F111" t="s">
        <v>333</v>
      </c>
      <c r="G111">
        <v>0.43</v>
      </c>
      <c r="I111" t="s">
        <v>350</v>
      </c>
    </row>
    <row r="112" spans="1:9" hidden="1" x14ac:dyDescent="0.25">
      <c r="A112" t="s">
        <v>339</v>
      </c>
      <c r="B112" t="s">
        <v>318</v>
      </c>
      <c r="C112" t="s">
        <v>348</v>
      </c>
      <c r="D112" t="s">
        <v>255</v>
      </c>
      <c r="E112" t="s">
        <v>375</v>
      </c>
      <c r="F112" t="s">
        <v>332</v>
      </c>
      <c r="G112">
        <v>0.55000000000000004</v>
      </c>
      <c r="I112" t="s">
        <v>350</v>
      </c>
    </row>
    <row r="113" spans="1:9" hidden="1" x14ac:dyDescent="0.25">
      <c r="A113" t="s">
        <v>339</v>
      </c>
      <c r="B113" t="s">
        <v>318</v>
      </c>
      <c r="C113" t="s">
        <v>348</v>
      </c>
      <c r="D113" t="s">
        <v>255</v>
      </c>
      <c r="E113" t="s">
        <v>375</v>
      </c>
      <c r="F113" t="s">
        <v>333</v>
      </c>
      <c r="G113">
        <v>0.43</v>
      </c>
      <c r="I113" t="s">
        <v>350</v>
      </c>
    </row>
    <row r="115" spans="1:9" x14ac:dyDescent="0.25">
      <c r="A115" t="s">
        <v>381</v>
      </c>
      <c r="B115" t="s">
        <v>380</v>
      </c>
      <c r="C115" s="8" t="s">
        <v>329</v>
      </c>
      <c r="D115" s="8" t="s">
        <v>255</v>
      </c>
      <c r="E115" s="8" t="s">
        <v>375</v>
      </c>
      <c r="F115" s="8" t="s">
        <v>333</v>
      </c>
      <c r="G115">
        <v>23.6</v>
      </c>
      <c r="H115">
        <v>14.2</v>
      </c>
      <c r="I115" s="9" t="s">
        <v>350</v>
      </c>
    </row>
    <row r="116" spans="1:9" x14ac:dyDescent="0.25">
      <c r="A116" t="s">
        <v>381</v>
      </c>
      <c r="B116" t="s">
        <v>380</v>
      </c>
      <c r="C116" s="7" t="s">
        <v>334</v>
      </c>
      <c r="D116" s="7" t="s">
        <v>255</v>
      </c>
      <c r="E116" s="7" t="s">
        <v>375</v>
      </c>
      <c r="F116" s="7" t="s">
        <v>333</v>
      </c>
      <c r="G116">
        <v>49.5</v>
      </c>
      <c r="H116">
        <v>11.9</v>
      </c>
      <c r="I116" s="9" t="s">
        <v>350</v>
      </c>
    </row>
    <row r="117" spans="1:9" x14ac:dyDescent="0.25">
      <c r="A117" t="s">
        <v>381</v>
      </c>
      <c r="B117" t="s">
        <v>380</v>
      </c>
      <c r="C117" s="8" t="s">
        <v>343</v>
      </c>
      <c r="D117" s="8" t="s">
        <v>255</v>
      </c>
      <c r="E117" s="8" t="s">
        <v>375</v>
      </c>
      <c r="F117" s="8" t="s">
        <v>333</v>
      </c>
      <c r="G117">
        <v>47.4</v>
      </c>
      <c r="H117">
        <v>11</v>
      </c>
      <c r="I117" s="9" t="s">
        <v>350</v>
      </c>
    </row>
    <row r="118" spans="1:9" x14ac:dyDescent="0.25">
      <c r="A118" t="s">
        <v>381</v>
      </c>
      <c r="B118" t="s">
        <v>380</v>
      </c>
      <c r="C118" s="7" t="s">
        <v>344</v>
      </c>
      <c r="D118" s="7" t="s">
        <v>255</v>
      </c>
      <c r="E118" s="7" t="s">
        <v>375</v>
      </c>
      <c r="F118" s="7" t="s">
        <v>333</v>
      </c>
      <c r="G118">
        <v>33.4</v>
      </c>
      <c r="H118">
        <v>8.4</v>
      </c>
      <c r="I118" s="9" t="s">
        <v>350</v>
      </c>
    </row>
    <row r="119" spans="1:9" x14ac:dyDescent="0.25">
      <c r="A119" t="s">
        <v>381</v>
      </c>
      <c r="B119" t="s">
        <v>380</v>
      </c>
      <c r="C119" s="8" t="s">
        <v>345</v>
      </c>
      <c r="D119" s="8" t="s">
        <v>255</v>
      </c>
      <c r="E119" s="8" t="s">
        <v>375</v>
      </c>
      <c r="F119" s="8" t="s">
        <v>333</v>
      </c>
      <c r="G119">
        <v>22.2</v>
      </c>
      <c r="H119">
        <v>6.9</v>
      </c>
      <c r="I119" s="9" t="s">
        <v>350</v>
      </c>
    </row>
    <row r="120" spans="1:9" x14ac:dyDescent="0.25">
      <c r="A120" t="s">
        <v>381</v>
      </c>
      <c r="B120" t="s">
        <v>380</v>
      </c>
      <c r="C120" s="7" t="s">
        <v>346</v>
      </c>
      <c r="D120" s="7" t="s">
        <v>255</v>
      </c>
      <c r="E120" s="7" t="s">
        <v>375</v>
      </c>
      <c r="F120" s="7" t="s">
        <v>333</v>
      </c>
      <c r="G120">
        <v>11.9</v>
      </c>
      <c r="H120">
        <v>3.3</v>
      </c>
      <c r="I120" s="9" t="s">
        <v>350</v>
      </c>
    </row>
    <row r="121" spans="1:9" x14ac:dyDescent="0.25">
      <c r="A121" t="s">
        <v>381</v>
      </c>
      <c r="B121" t="s">
        <v>380</v>
      </c>
      <c r="C121" s="8" t="s">
        <v>347</v>
      </c>
      <c r="D121" s="8" t="s">
        <v>255</v>
      </c>
      <c r="E121" s="8" t="s">
        <v>375</v>
      </c>
      <c r="F121" s="8" t="s">
        <v>333</v>
      </c>
      <c r="G121">
        <v>9.3000000000000007</v>
      </c>
      <c r="H121">
        <v>2.6</v>
      </c>
      <c r="I121" s="9" t="s">
        <v>350</v>
      </c>
    </row>
    <row r="122" spans="1:9" x14ac:dyDescent="0.25">
      <c r="A122" t="s">
        <v>381</v>
      </c>
      <c r="B122" t="s">
        <v>380</v>
      </c>
      <c r="C122" s="7" t="s">
        <v>348</v>
      </c>
      <c r="D122" s="7" t="s">
        <v>255</v>
      </c>
      <c r="E122" s="7" t="s">
        <v>375</v>
      </c>
      <c r="F122" s="7" t="s">
        <v>333</v>
      </c>
      <c r="G122">
        <v>7.5</v>
      </c>
      <c r="H122">
        <v>1.7</v>
      </c>
      <c r="I122" s="9" t="s">
        <v>350</v>
      </c>
    </row>
    <row r="123" spans="1:9" x14ac:dyDescent="0.25">
      <c r="A123" t="s">
        <v>381</v>
      </c>
      <c r="B123" t="s">
        <v>380</v>
      </c>
      <c r="C123" s="8" t="s">
        <v>329</v>
      </c>
      <c r="D123" s="8" t="s">
        <v>255</v>
      </c>
      <c r="E123" s="8" t="s">
        <v>374</v>
      </c>
      <c r="F123" s="8" t="s">
        <v>333</v>
      </c>
      <c r="G123">
        <v>215</v>
      </c>
      <c r="H123">
        <v>156</v>
      </c>
      <c r="I123" s="9" t="s">
        <v>350</v>
      </c>
    </row>
    <row r="124" spans="1:9" x14ac:dyDescent="0.25">
      <c r="A124" t="s">
        <v>381</v>
      </c>
      <c r="B124" t="s">
        <v>380</v>
      </c>
      <c r="C124" s="7" t="s">
        <v>334</v>
      </c>
      <c r="D124" s="7" t="s">
        <v>255</v>
      </c>
      <c r="E124" s="7" t="s">
        <v>374</v>
      </c>
      <c r="F124" s="7" t="s">
        <v>333</v>
      </c>
      <c r="G124">
        <v>495</v>
      </c>
      <c r="H124">
        <v>64</v>
      </c>
      <c r="I124" s="9" t="s">
        <v>350</v>
      </c>
    </row>
    <row r="125" spans="1:9" x14ac:dyDescent="0.25">
      <c r="A125" t="s">
        <v>381</v>
      </c>
      <c r="B125" t="s">
        <v>380</v>
      </c>
      <c r="C125" s="8" t="s">
        <v>343</v>
      </c>
      <c r="D125" s="8" t="s">
        <v>255</v>
      </c>
      <c r="E125" s="8" t="s">
        <v>374</v>
      </c>
      <c r="F125" s="8" t="s">
        <v>333</v>
      </c>
      <c r="G125">
        <v>535</v>
      </c>
      <c r="H125">
        <v>63</v>
      </c>
      <c r="I125" s="9" t="s">
        <v>350</v>
      </c>
    </row>
    <row r="126" spans="1:9" x14ac:dyDescent="0.25">
      <c r="A126" t="s">
        <v>381</v>
      </c>
      <c r="B126" t="s">
        <v>380</v>
      </c>
      <c r="C126" s="7" t="s">
        <v>344</v>
      </c>
      <c r="D126" s="7" t="s">
        <v>255</v>
      </c>
      <c r="E126" s="7" t="s">
        <v>374</v>
      </c>
      <c r="F126" s="7" t="s">
        <v>333</v>
      </c>
      <c r="G126">
        <v>414</v>
      </c>
      <c r="H126">
        <v>61</v>
      </c>
      <c r="I126" s="9" t="s">
        <v>350</v>
      </c>
    </row>
    <row r="127" spans="1:9" x14ac:dyDescent="0.25">
      <c r="A127" t="s">
        <v>381</v>
      </c>
      <c r="B127" t="s">
        <v>380</v>
      </c>
      <c r="C127" s="8" t="s">
        <v>345</v>
      </c>
      <c r="D127" s="8" t="s">
        <v>255</v>
      </c>
      <c r="E127" s="8" t="s">
        <v>374</v>
      </c>
      <c r="F127" s="8" t="s">
        <v>333</v>
      </c>
      <c r="G127">
        <v>248</v>
      </c>
      <c r="H127">
        <v>78</v>
      </c>
      <c r="I127" s="9" t="s">
        <v>350</v>
      </c>
    </row>
    <row r="128" spans="1:9" x14ac:dyDescent="0.25">
      <c r="A128" t="s">
        <v>381</v>
      </c>
      <c r="B128" t="s">
        <v>380</v>
      </c>
      <c r="C128" s="7" t="s">
        <v>346</v>
      </c>
      <c r="D128" s="7" t="s">
        <v>255</v>
      </c>
      <c r="E128" s="7" t="s">
        <v>374</v>
      </c>
      <c r="F128" s="7" t="s">
        <v>333</v>
      </c>
      <c r="G128">
        <v>117</v>
      </c>
      <c r="H128">
        <v>27</v>
      </c>
      <c r="I128" s="9" t="s">
        <v>350</v>
      </c>
    </row>
    <row r="129" spans="1:9" x14ac:dyDescent="0.25">
      <c r="A129" t="s">
        <v>381</v>
      </c>
      <c r="B129" t="s">
        <v>380</v>
      </c>
      <c r="C129" s="8" t="s">
        <v>347</v>
      </c>
      <c r="D129" s="8" t="s">
        <v>255</v>
      </c>
      <c r="E129" s="8" t="s">
        <v>374</v>
      </c>
      <c r="F129" s="8" t="s">
        <v>333</v>
      </c>
      <c r="G129">
        <v>84</v>
      </c>
      <c r="H129">
        <v>23</v>
      </c>
      <c r="I129" s="9" t="s">
        <v>350</v>
      </c>
    </row>
    <row r="130" spans="1:9" x14ac:dyDescent="0.25">
      <c r="A130" t="s">
        <v>381</v>
      </c>
      <c r="B130" t="s">
        <v>380</v>
      </c>
      <c r="C130" s="7" t="s">
        <v>348</v>
      </c>
      <c r="D130" s="7" t="s">
        <v>255</v>
      </c>
      <c r="E130" s="7" t="s">
        <v>374</v>
      </c>
      <c r="F130" s="7" t="s">
        <v>333</v>
      </c>
      <c r="G130">
        <v>51</v>
      </c>
      <c r="H130">
        <v>12</v>
      </c>
      <c r="I130" s="9" t="s">
        <v>350</v>
      </c>
    </row>
    <row r="131" spans="1:9" x14ac:dyDescent="0.25">
      <c r="A131" t="s">
        <v>381</v>
      </c>
      <c r="B131" t="s">
        <v>380</v>
      </c>
      <c r="C131" s="8" t="s">
        <v>329</v>
      </c>
      <c r="D131" s="8" t="s">
        <v>255</v>
      </c>
      <c r="E131" s="8" t="s">
        <v>375</v>
      </c>
      <c r="F131" s="8" t="s">
        <v>332</v>
      </c>
      <c r="G131">
        <v>22.2</v>
      </c>
      <c r="H131">
        <v>8.4</v>
      </c>
      <c r="I131" s="9" t="s">
        <v>350</v>
      </c>
    </row>
    <row r="132" spans="1:9" x14ac:dyDescent="0.25">
      <c r="A132" t="s">
        <v>381</v>
      </c>
      <c r="B132" t="s">
        <v>380</v>
      </c>
      <c r="C132" s="7" t="s">
        <v>334</v>
      </c>
      <c r="D132" s="7" t="s">
        <v>255</v>
      </c>
      <c r="E132" s="7" t="s">
        <v>375</v>
      </c>
      <c r="F132" s="8" t="s">
        <v>332</v>
      </c>
      <c r="G132">
        <v>42.2</v>
      </c>
      <c r="H132">
        <v>9.9</v>
      </c>
      <c r="I132" s="9" t="s">
        <v>350</v>
      </c>
    </row>
    <row r="133" spans="1:9" x14ac:dyDescent="0.25">
      <c r="A133" t="s">
        <v>381</v>
      </c>
      <c r="B133" t="s">
        <v>380</v>
      </c>
      <c r="C133" s="8" t="s">
        <v>343</v>
      </c>
      <c r="D133" s="8" t="s">
        <v>255</v>
      </c>
      <c r="E133" s="8" t="s">
        <v>375</v>
      </c>
      <c r="F133" s="8" t="s">
        <v>332</v>
      </c>
      <c r="G133">
        <v>33.200000000000003</v>
      </c>
      <c r="H133">
        <v>10.3</v>
      </c>
      <c r="I133" s="9" t="s">
        <v>350</v>
      </c>
    </row>
    <row r="134" spans="1:9" x14ac:dyDescent="0.25">
      <c r="A134" t="s">
        <v>381</v>
      </c>
      <c r="B134" t="s">
        <v>380</v>
      </c>
      <c r="C134" s="7" t="s">
        <v>344</v>
      </c>
      <c r="D134" s="7" t="s">
        <v>255</v>
      </c>
      <c r="E134" s="7" t="s">
        <v>375</v>
      </c>
      <c r="F134" s="8" t="s">
        <v>332</v>
      </c>
      <c r="G134">
        <v>24.2</v>
      </c>
      <c r="H134">
        <v>6</v>
      </c>
      <c r="I134" s="9" t="s">
        <v>350</v>
      </c>
    </row>
    <row r="135" spans="1:9" x14ac:dyDescent="0.25">
      <c r="A135" t="s">
        <v>381</v>
      </c>
      <c r="B135" t="s">
        <v>380</v>
      </c>
      <c r="C135" s="8" t="s">
        <v>345</v>
      </c>
      <c r="D135" s="8" t="s">
        <v>255</v>
      </c>
      <c r="E135" s="8" t="s">
        <v>375</v>
      </c>
      <c r="F135" s="8" t="s">
        <v>332</v>
      </c>
      <c r="G135">
        <v>17.600000000000001</v>
      </c>
      <c r="H135">
        <v>3.7</v>
      </c>
      <c r="I135" s="9" t="s">
        <v>350</v>
      </c>
    </row>
    <row r="136" spans="1:9" x14ac:dyDescent="0.25">
      <c r="A136" t="s">
        <v>381</v>
      </c>
      <c r="B136" t="s">
        <v>380</v>
      </c>
      <c r="C136" s="7" t="s">
        <v>346</v>
      </c>
      <c r="D136" s="7" t="s">
        <v>255</v>
      </c>
      <c r="E136" s="7" t="s">
        <v>375</v>
      </c>
      <c r="F136" s="8" t="s">
        <v>332</v>
      </c>
      <c r="G136">
        <v>9.5</v>
      </c>
      <c r="H136">
        <v>3.1</v>
      </c>
      <c r="I136" s="9" t="s">
        <v>350</v>
      </c>
    </row>
    <row r="137" spans="1:9" x14ac:dyDescent="0.25">
      <c r="A137" t="s">
        <v>381</v>
      </c>
      <c r="B137" t="s">
        <v>380</v>
      </c>
      <c r="C137" s="8" t="s">
        <v>347</v>
      </c>
      <c r="D137" s="8" t="s">
        <v>255</v>
      </c>
      <c r="E137" s="8" t="s">
        <v>375</v>
      </c>
      <c r="F137" s="8" t="s">
        <v>332</v>
      </c>
      <c r="G137">
        <v>9.1999999999999993</v>
      </c>
      <c r="H137">
        <v>3.1</v>
      </c>
      <c r="I137" s="9" t="s">
        <v>350</v>
      </c>
    </row>
    <row r="138" spans="1:9" x14ac:dyDescent="0.25">
      <c r="A138" t="s">
        <v>381</v>
      </c>
      <c r="B138" t="s">
        <v>380</v>
      </c>
      <c r="C138" s="7" t="s">
        <v>348</v>
      </c>
      <c r="D138" s="7" t="s">
        <v>255</v>
      </c>
      <c r="E138" s="7" t="s">
        <v>375</v>
      </c>
      <c r="F138" s="8" t="s">
        <v>332</v>
      </c>
      <c r="G138">
        <v>9</v>
      </c>
      <c r="H138">
        <v>3.2</v>
      </c>
      <c r="I138" s="9" t="s">
        <v>350</v>
      </c>
    </row>
    <row r="139" spans="1:9" x14ac:dyDescent="0.25">
      <c r="A139" t="s">
        <v>381</v>
      </c>
      <c r="B139" t="s">
        <v>380</v>
      </c>
      <c r="C139" s="8" t="s">
        <v>329</v>
      </c>
      <c r="D139" s="8" t="s">
        <v>255</v>
      </c>
      <c r="E139" s="8" t="s">
        <v>374</v>
      </c>
      <c r="F139" s="8" t="s">
        <v>332</v>
      </c>
      <c r="G139">
        <v>141</v>
      </c>
      <c r="H139">
        <v>51</v>
      </c>
      <c r="I139" s="9" t="s">
        <v>350</v>
      </c>
    </row>
    <row r="140" spans="1:9" x14ac:dyDescent="0.25">
      <c r="A140" t="s">
        <v>381</v>
      </c>
      <c r="B140" t="s">
        <v>380</v>
      </c>
      <c r="C140" s="7" t="s">
        <v>334</v>
      </c>
      <c r="D140" s="7" t="s">
        <v>255</v>
      </c>
      <c r="E140" s="7" t="s">
        <v>374</v>
      </c>
      <c r="F140" s="8" t="s">
        <v>332</v>
      </c>
      <c r="G140">
        <v>348</v>
      </c>
      <c r="H140">
        <v>76</v>
      </c>
      <c r="I140" s="9" t="s">
        <v>350</v>
      </c>
    </row>
    <row r="141" spans="1:9" x14ac:dyDescent="0.25">
      <c r="A141" t="s">
        <v>381</v>
      </c>
      <c r="B141" t="s">
        <v>380</v>
      </c>
      <c r="C141" s="8" t="s">
        <v>343</v>
      </c>
      <c r="D141" s="8" t="s">
        <v>255</v>
      </c>
      <c r="E141" s="8" t="s">
        <v>374</v>
      </c>
      <c r="F141" s="8" t="s">
        <v>332</v>
      </c>
      <c r="G141">
        <v>335</v>
      </c>
      <c r="H141">
        <v>63</v>
      </c>
      <c r="I141" s="9" t="s">
        <v>350</v>
      </c>
    </row>
    <row r="142" spans="1:9" x14ac:dyDescent="0.25">
      <c r="A142" t="s">
        <v>381</v>
      </c>
      <c r="B142" t="s">
        <v>380</v>
      </c>
      <c r="C142" s="7" t="s">
        <v>344</v>
      </c>
      <c r="D142" s="7" t="s">
        <v>255</v>
      </c>
      <c r="E142" s="7" t="s">
        <v>374</v>
      </c>
      <c r="F142" s="8" t="s">
        <v>332</v>
      </c>
      <c r="G142">
        <v>277</v>
      </c>
      <c r="H142">
        <v>44</v>
      </c>
      <c r="I142" s="9" t="s">
        <v>350</v>
      </c>
    </row>
    <row r="143" spans="1:9" x14ac:dyDescent="0.25">
      <c r="A143" t="s">
        <v>381</v>
      </c>
      <c r="B143" t="s">
        <v>380</v>
      </c>
      <c r="C143" s="8" t="s">
        <v>345</v>
      </c>
      <c r="D143" s="8" t="s">
        <v>255</v>
      </c>
      <c r="E143" s="8" t="s">
        <v>374</v>
      </c>
      <c r="F143" s="8" t="s">
        <v>332</v>
      </c>
      <c r="G143">
        <v>170</v>
      </c>
      <c r="H143">
        <v>30</v>
      </c>
      <c r="I143" s="9" t="s">
        <v>350</v>
      </c>
    </row>
    <row r="144" spans="1:9" x14ac:dyDescent="0.25">
      <c r="A144" t="s">
        <v>381</v>
      </c>
      <c r="B144" t="s">
        <v>380</v>
      </c>
      <c r="C144" s="7" t="s">
        <v>346</v>
      </c>
      <c r="D144" s="7" t="s">
        <v>255</v>
      </c>
      <c r="E144" s="7" t="s">
        <v>374</v>
      </c>
      <c r="F144" s="8" t="s">
        <v>332</v>
      </c>
      <c r="G144">
        <v>90</v>
      </c>
      <c r="H144">
        <v>21</v>
      </c>
      <c r="I144" s="9" t="s">
        <v>350</v>
      </c>
    </row>
    <row r="145" spans="1:9" x14ac:dyDescent="0.25">
      <c r="A145" t="s">
        <v>381</v>
      </c>
      <c r="B145" t="s">
        <v>380</v>
      </c>
      <c r="C145" s="8" t="s">
        <v>347</v>
      </c>
      <c r="D145" s="8" t="s">
        <v>255</v>
      </c>
      <c r="E145" s="8" t="s">
        <v>374</v>
      </c>
      <c r="F145" s="8" t="s">
        <v>332</v>
      </c>
      <c r="G145">
        <v>69</v>
      </c>
      <c r="H145">
        <v>21</v>
      </c>
      <c r="I145" s="9" t="s">
        <v>350</v>
      </c>
    </row>
    <row r="146" spans="1:9" x14ac:dyDescent="0.25">
      <c r="A146" t="s">
        <v>381</v>
      </c>
      <c r="B146" t="s">
        <v>380</v>
      </c>
      <c r="C146" s="7" t="s">
        <v>348</v>
      </c>
      <c r="D146" s="7" t="s">
        <v>255</v>
      </c>
      <c r="E146" s="7" t="s">
        <v>374</v>
      </c>
      <c r="F146" s="8" t="s">
        <v>332</v>
      </c>
      <c r="G146">
        <v>44</v>
      </c>
      <c r="H146">
        <v>17</v>
      </c>
      <c r="I146" s="9" t="s">
        <v>350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AAC5-AF3F-4BA2-957F-533025B21043}">
  <dimension ref="A1:D51"/>
  <sheetViews>
    <sheetView zoomScaleNormal="100" workbookViewId="0">
      <selection activeCell="C7" sqref="C7"/>
    </sheetView>
  </sheetViews>
  <sheetFormatPr defaultRowHeight="15" x14ac:dyDescent="0.25"/>
  <cols>
    <col min="1" max="1" width="53.5703125" bestFit="1" customWidth="1"/>
    <col min="2" max="2" width="16.42578125" customWidth="1"/>
    <col min="3" max="3" width="13.140625" bestFit="1" customWidth="1"/>
  </cols>
  <sheetData>
    <row r="1" spans="1:4" x14ac:dyDescent="0.25">
      <c r="B1" s="3" t="s">
        <v>372</v>
      </c>
      <c r="C1" s="3" t="s">
        <v>373</v>
      </c>
    </row>
    <row r="2" spans="1:4" x14ac:dyDescent="0.25">
      <c r="B2" t="s">
        <v>349</v>
      </c>
      <c r="D2" t="s">
        <v>359</v>
      </c>
    </row>
    <row r="3" spans="1:4" x14ac:dyDescent="0.25">
      <c r="A3" t="s">
        <v>356</v>
      </c>
      <c r="B3">
        <v>0.5</v>
      </c>
      <c r="C3">
        <v>0.5</v>
      </c>
      <c r="D3" t="s">
        <v>360</v>
      </c>
    </row>
    <row r="4" spans="1:4" x14ac:dyDescent="0.25">
      <c r="A4" t="s">
        <v>170</v>
      </c>
      <c r="B4">
        <v>0.6</v>
      </c>
      <c r="C4">
        <v>0.6</v>
      </c>
      <c r="D4" t="s">
        <v>361</v>
      </c>
    </row>
    <row r="5" spans="1:4" x14ac:dyDescent="0.25">
      <c r="A5" t="s">
        <v>357</v>
      </c>
      <c r="B5" s="1">
        <v>2.9250000000000001E-3</v>
      </c>
      <c r="C5" s="1">
        <v>1.902E-3</v>
      </c>
      <c r="D5" t="s">
        <v>362</v>
      </c>
    </row>
    <row r="6" spans="1:4" x14ac:dyDescent="0.25">
      <c r="A6" t="s">
        <v>366</v>
      </c>
      <c r="B6" s="1">
        <v>1.538E-4</v>
      </c>
      <c r="C6" s="1">
        <v>2.1699999999999999E-5</v>
      </c>
      <c r="D6" t="s">
        <v>362</v>
      </c>
    </row>
    <row r="7" spans="1:4" x14ac:dyDescent="0.25">
      <c r="A7" t="s">
        <v>358</v>
      </c>
      <c r="B7" s="5">
        <f>(B3*B4)/B5</f>
        <v>102.56410256410255</v>
      </c>
      <c r="C7" s="6">
        <f>(C3*C4)/C5</f>
        <v>157.72870662460568</v>
      </c>
      <c r="D7" t="s">
        <v>363</v>
      </c>
    </row>
    <row r="8" spans="1:4" x14ac:dyDescent="0.25">
      <c r="B8" s="5"/>
      <c r="C8" s="1"/>
    </row>
    <row r="9" spans="1:4" x14ac:dyDescent="0.25">
      <c r="A9" t="s">
        <v>356</v>
      </c>
      <c r="B9">
        <v>10</v>
      </c>
      <c r="C9">
        <v>10</v>
      </c>
      <c r="D9" t="s">
        <v>360</v>
      </c>
    </row>
    <row r="10" spans="1:4" x14ac:dyDescent="0.25">
      <c r="A10" t="s">
        <v>358</v>
      </c>
      <c r="B10" s="6">
        <f>(B9*B$4)/B$5</f>
        <v>2051.2820512820513</v>
      </c>
      <c r="C10" s="6">
        <f>(C9*C$4)/C$5</f>
        <v>3154.5741324921137</v>
      </c>
      <c r="D10" t="s">
        <v>363</v>
      </c>
    </row>
    <row r="11" spans="1:4" x14ac:dyDescent="0.25">
      <c r="B11" s="5"/>
      <c r="C11" s="1"/>
    </row>
    <row r="12" spans="1:4" x14ac:dyDescent="0.25">
      <c r="A12" t="s">
        <v>356</v>
      </c>
      <c r="B12">
        <v>50</v>
      </c>
      <c r="C12">
        <v>50</v>
      </c>
      <c r="D12" t="s">
        <v>360</v>
      </c>
    </row>
    <row r="13" spans="1:4" x14ac:dyDescent="0.25">
      <c r="A13" t="s">
        <v>358</v>
      </c>
      <c r="B13" s="6">
        <f>(B12*B$4)/B$5</f>
        <v>10256.410256410256</v>
      </c>
      <c r="C13" s="6">
        <f>(C12*C$4)/C$5</f>
        <v>15772.870662460567</v>
      </c>
      <c r="D13" t="s">
        <v>363</v>
      </c>
    </row>
    <row r="14" spans="1:4" x14ac:dyDescent="0.25">
      <c r="B14" s="5"/>
      <c r="C14" s="1"/>
    </row>
    <row r="15" spans="1:4" x14ac:dyDescent="0.25">
      <c r="B15" s="5"/>
      <c r="C15" s="1"/>
    </row>
    <row r="16" spans="1:4" x14ac:dyDescent="0.25">
      <c r="B16" s="5"/>
      <c r="C16" s="1"/>
    </row>
    <row r="17" spans="1:4" x14ac:dyDescent="0.25">
      <c r="B17" s="5"/>
      <c r="C17" s="1"/>
    </row>
    <row r="18" spans="1:4" x14ac:dyDescent="0.25">
      <c r="B18" s="5"/>
      <c r="C18" s="1"/>
    </row>
    <row r="19" spans="1:4" x14ac:dyDescent="0.25">
      <c r="B19" s="5"/>
      <c r="C19" s="1"/>
    </row>
    <row r="20" spans="1:4" x14ac:dyDescent="0.25">
      <c r="B20" s="5"/>
      <c r="C20" s="1"/>
    </row>
    <row r="21" spans="1:4" x14ac:dyDescent="0.25">
      <c r="B21" s="5"/>
      <c r="C21" s="1"/>
    </row>
    <row r="22" spans="1:4" x14ac:dyDescent="0.25">
      <c r="B22" s="5"/>
      <c r="C22" s="1"/>
    </row>
    <row r="24" spans="1:4" x14ac:dyDescent="0.25">
      <c r="A24" s="3" t="s">
        <v>367</v>
      </c>
    </row>
    <row r="25" spans="1:4" x14ac:dyDescent="0.25">
      <c r="B25" t="s">
        <v>349</v>
      </c>
      <c r="D25" t="s">
        <v>359</v>
      </c>
    </row>
    <row r="26" spans="1:4" x14ac:dyDescent="0.25">
      <c r="A26" t="s">
        <v>356</v>
      </c>
      <c r="B26">
        <v>0.5</v>
      </c>
      <c r="D26" t="s">
        <v>360</v>
      </c>
    </row>
    <row r="27" spans="1:4" x14ac:dyDescent="0.25">
      <c r="A27" t="s">
        <v>170</v>
      </c>
      <c r="B27">
        <v>0.6</v>
      </c>
      <c r="D27" t="s">
        <v>361</v>
      </c>
    </row>
    <row r="28" spans="1:4" x14ac:dyDescent="0.25">
      <c r="A28" t="s">
        <v>357</v>
      </c>
      <c r="B28" s="1">
        <f>B5+B6</f>
        <v>3.0788E-3</v>
      </c>
      <c r="C28" s="1"/>
      <c r="D28" t="s">
        <v>362</v>
      </c>
    </row>
    <row r="29" spans="1:4" x14ac:dyDescent="0.25">
      <c r="A29" t="s">
        <v>370</v>
      </c>
      <c r="B29" s="5">
        <f>(B26*B27)/B28</f>
        <v>97.440561257632837</v>
      </c>
      <c r="C29" s="5"/>
      <c r="D29" t="s">
        <v>363</v>
      </c>
    </row>
    <row r="31" spans="1:4" x14ac:dyDescent="0.25">
      <c r="A31" s="3" t="s">
        <v>368</v>
      </c>
    </row>
    <row r="32" spans="1:4" x14ac:dyDescent="0.25">
      <c r="B32" t="s">
        <v>349</v>
      </c>
      <c r="D32" t="s">
        <v>359</v>
      </c>
    </row>
    <row r="33" spans="1:4" x14ac:dyDescent="0.25">
      <c r="A33" t="s">
        <v>356</v>
      </c>
      <c r="B33">
        <v>0.5</v>
      </c>
      <c r="D33" t="s">
        <v>360</v>
      </c>
    </row>
    <row r="34" spans="1:4" x14ac:dyDescent="0.25">
      <c r="A34" t="s">
        <v>170</v>
      </c>
      <c r="B34">
        <v>0.6</v>
      </c>
      <c r="D34" t="s">
        <v>361</v>
      </c>
    </row>
    <row r="35" spans="1:4" x14ac:dyDescent="0.25">
      <c r="A35" t="s">
        <v>357</v>
      </c>
      <c r="B35" s="1">
        <f>B5-B6</f>
        <v>2.7712000000000001E-3</v>
      </c>
      <c r="C35" s="1"/>
      <c r="D35" t="s">
        <v>362</v>
      </c>
    </row>
    <row r="36" spans="1:4" x14ac:dyDescent="0.25">
      <c r="A36" t="s">
        <v>369</v>
      </c>
      <c r="B36" s="1">
        <f>(B33*B34)/B35</f>
        <v>108.25635103926096</v>
      </c>
      <c r="C36" s="1"/>
      <c r="D36" t="s">
        <v>363</v>
      </c>
    </row>
    <row r="37" spans="1:4" x14ac:dyDescent="0.25">
      <c r="B37" s="1"/>
      <c r="C37" s="1"/>
    </row>
    <row r="38" spans="1:4" x14ac:dyDescent="0.25">
      <c r="A38" t="s">
        <v>371</v>
      </c>
      <c r="B38" s="1">
        <f>B7-B29</f>
        <v>5.1235413064697184</v>
      </c>
      <c r="C38" s="1"/>
    </row>
    <row r="39" spans="1:4" x14ac:dyDescent="0.25">
      <c r="B39" s="1">
        <f>B36-B7</f>
        <v>5.6922484751584079</v>
      </c>
      <c r="C39" s="1"/>
    </row>
    <row r="40" spans="1:4" x14ac:dyDescent="0.25">
      <c r="B40" s="5"/>
      <c r="C40" s="5"/>
    </row>
    <row r="41" spans="1:4" x14ac:dyDescent="0.25">
      <c r="A41" t="s">
        <v>364</v>
      </c>
    </row>
    <row r="42" spans="1:4" x14ac:dyDescent="0.25">
      <c r="A42" t="s">
        <v>356</v>
      </c>
      <c r="B42">
        <v>0.5</v>
      </c>
    </row>
    <row r="43" spans="1:4" x14ac:dyDescent="0.25">
      <c r="A43" t="s">
        <v>170</v>
      </c>
      <c r="B43">
        <v>1</v>
      </c>
    </row>
    <row r="44" spans="1:4" x14ac:dyDescent="0.25">
      <c r="A44" t="s">
        <v>357</v>
      </c>
      <c r="B44" s="1">
        <v>2.9250000000000001E-3</v>
      </c>
      <c r="C44" s="1"/>
    </row>
    <row r="45" spans="1:4" x14ac:dyDescent="0.25">
      <c r="A45" t="s">
        <v>358</v>
      </c>
      <c r="B45" s="5">
        <f>(B42*B43)/B44</f>
        <v>170.94017094017093</v>
      </c>
      <c r="C45" s="5"/>
    </row>
    <row r="47" spans="1:4" x14ac:dyDescent="0.25">
      <c r="A47" t="s">
        <v>365</v>
      </c>
    </row>
    <row r="48" spans="1:4" x14ac:dyDescent="0.25">
      <c r="A48" t="s">
        <v>356</v>
      </c>
      <c r="B48">
        <v>0.5</v>
      </c>
    </row>
    <row r="49" spans="1:3" x14ac:dyDescent="0.25">
      <c r="A49" t="s">
        <v>170</v>
      </c>
      <c r="B49">
        <v>0.6</v>
      </c>
    </row>
    <row r="50" spans="1:3" x14ac:dyDescent="0.25">
      <c r="A50" t="s">
        <v>357</v>
      </c>
      <c r="B50" s="1">
        <v>3.4740000000000001E-3</v>
      </c>
      <c r="C50" s="1"/>
    </row>
    <row r="51" spans="1:3" x14ac:dyDescent="0.25">
      <c r="A51" t="s">
        <v>358</v>
      </c>
      <c r="B51" s="5">
        <f>(B48*B49)/B50</f>
        <v>86.355785837651112</v>
      </c>
      <c r="C51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InvivoTK</vt:lpstr>
      <vt:lpstr>calculations</vt:lpstr>
      <vt:lpstr>tidy_data</vt:lpstr>
      <vt:lpstr>PBPK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Coffin, Scott@OEHHA</dc:creator>
  <cp:lastModifiedBy>Coffin, Scott@OEHHA</cp:lastModifiedBy>
  <dcterms:created xsi:type="dcterms:W3CDTF">2024-06-11T00:34:25Z</dcterms:created>
  <dcterms:modified xsi:type="dcterms:W3CDTF">2024-06-26T21:50:41Z</dcterms:modified>
</cp:coreProperties>
</file>