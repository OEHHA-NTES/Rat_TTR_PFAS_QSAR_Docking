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ehhacloud-my.sharepoint.com/personal/scott_coffin_oehha_ca_gov/Documents/R_new/PFHpA/input/data/"/>
    </mc:Choice>
  </mc:AlternateContent>
  <xr:revisionPtr revIDLastSave="23" documentId="13_ncr:1_{AAD34060-EAB7-47D1-AC3C-27C42DB2540A}" xr6:coauthVersionLast="47" xr6:coauthVersionMax="47" xr10:uidLastSave="{AC67EA3C-9DFF-4093-A097-B77011FF41B1}"/>
  <bookViews>
    <workbookView xWindow="-120" yWindow="-120" windowWidth="25440" windowHeight="15390" xr2:uid="{00000000-000D-0000-FFFF-FFFF00000000}"/>
  </bookViews>
  <sheets>
    <sheet name="revised" sheetId="2" r:id="rId1"/>
    <sheet name="archive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2" i="2" l="1"/>
  <c r="AG2" i="2" s="1"/>
  <c r="AC3" i="1"/>
  <c r="AG3" i="1" s="1"/>
  <c r="AC2" i="1"/>
  <c r="AG2" i="1" s="1"/>
  <c r="AF2" i="2" l="1"/>
  <c r="AF2" i="1"/>
  <c r="AF3" i="1"/>
</calcChain>
</file>

<file path=xl/sharedStrings.xml><?xml version="1.0" encoding="utf-8"?>
<sst xmlns="http://schemas.openxmlformats.org/spreadsheetml/2006/main" count="108" uniqueCount="50">
  <si>
    <t>chem</t>
  </si>
  <si>
    <t>Compound administered</t>
  </si>
  <si>
    <t>Compound MW</t>
  </si>
  <si>
    <t>Study</t>
  </si>
  <si>
    <t>species_name</t>
  </si>
  <si>
    <t>Doses</t>
  </si>
  <si>
    <t>Dose_A</t>
  </si>
  <si>
    <t>Dose_B</t>
  </si>
  <si>
    <t>Dose_C</t>
  </si>
  <si>
    <t>Dose_D</t>
  </si>
  <si>
    <t>Dose_E</t>
  </si>
  <si>
    <t>Dose_units</t>
  </si>
  <si>
    <t>Exposure Route</t>
  </si>
  <si>
    <t>Study type</t>
  </si>
  <si>
    <t>Exposure_duration_d</t>
  </si>
  <si>
    <t>PFOA</t>
  </si>
  <si>
    <t>NTP 2019a</t>
  </si>
  <si>
    <t>Rat</t>
  </si>
  <si>
    <t>Sprague Dawley (Hsd:Sprague Dawley SD)</t>
  </si>
  <si>
    <t>M</t>
  </si>
  <si>
    <t>0, 0.625, 1.25, 2.5, 5, 10 mg/kg-day</t>
  </si>
  <si>
    <t>mg/kg-day</t>
  </si>
  <si>
    <t>0.098, 50.690, 73.480, 95.430, 110.720, 148.570 (measured 24 hr after last dose)</t>
  </si>
  <si>
    <t>Gavage in deionized water with 2% Tween 80</t>
  </si>
  <si>
    <t>Intragastric</t>
  </si>
  <si>
    <t>Subacute</t>
  </si>
  <si>
    <t>PFHxA</t>
  </si>
  <si>
    <r>
      <t xml:space="preserve">0, 62.6, 125, 250, 500, 1000 mg/kg-day </t>
    </r>
    <r>
      <rPr>
        <sz val="11"/>
        <color rgb="FFFF0000"/>
        <rFont val="Calibri"/>
        <family val="2"/>
        <scheme val="minor"/>
      </rPr>
      <t>(one half dose administered twice daily)</t>
    </r>
  </si>
  <si>
    <t>BD (0.025), 0.378, 0.503, 1.297, 3.339, 10.899 (measured 24 hr after last dose)</t>
  </si>
  <si>
    <t>strain</t>
  </si>
  <si>
    <t>sex</t>
  </si>
  <si>
    <t>dosing_regimen</t>
  </si>
  <si>
    <t>once_daily</t>
  </si>
  <si>
    <t>Serum/plasma levels (ug/mL)</t>
  </si>
  <si>
    <t>Serum/plasma</t>
  </si>
  <si>
    <t>plasma</t>
  </si>
  <si>
    <t>Serum_A</t>
  </si>
  <si>
    <t>Serum_B</t>
  </si>
  <si>
    <t>Serum_C</t>
  </si>
  <si>
    <t>Serum_D</t>
  </si>
  <si>
    <t>Serum_E</t>
  </si>
  <si>
    <t>route</t>
  </si>
  <si>
    <t>tau_hr</t>
  </si>
  <si>
    <t>n_doses</t>
  </si>
  <si>
    <t>Exposure_duration_hr</t>
  </si>
  <si>
    <t>serum_measured_hr</t>
  </si>
  <si>
    <t>dosing_interval</t>
  </si>
  <si>
    <t>PFHXA</t>
  </si>
  <si>
    <t>Dose_zero</t>
  </si>
  <si>
    <t>Serum_zero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</si>
</sst>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53E7F-CE9D-4172-B6E8-95A887E2F2AB}">
  <dimension ref="A1:AG3"/>
  <sheetViews>
    <sheetView tabSelected="1" workbookViewId="0">
      <selection activeCell="A3" sqref="A3:XFD3"/>
    </sheetView>
  </sheetViews>
  <sheetFormatPr defaultRowHeight="15" x14ac:dyDescent="0.25"/>
  <cols>
    <col min="4" max="4" width="10" bestFit="1" customWidth="1"/>
    <col min="14" max="14" width="7.42578125" bestFit="1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29</v>
      </c>
      <c r="G1" s="1" t="s">
        <v>30</v>
      </c>
      <c r="H1" s="1" t="s">
        <v>5</v>
      </c>
      <c r="I1" s="1" t="s">
        <v>48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31</v>
      </c>
      <c r="Q1" s="1" t="s">
        <v>33</v>
      </c>
      <c r="R1" s="1" t="s">
        <v>34</v>
      </c>
      <c r="S1" s="1" t="s">
        <v>49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12</v>
      </c>
      <c r="Z1" s="1" t="s">
        <v>41</v>
      </c>
      <c r="AA1" s="1" t="s">
        <v>13</v>
      </c>
      <c r="AB1" s="1" t="s">
        <v>14</v>
      </c>
      <c r="AC1" s="1" t="s">
        <v>44</v>
      </c>
      <c r="AD1" s="1" t="s">
        <v>42</v>
      </c>
      <c r="AE1" s="1" t="s">
        <v>46</v>
      </c>
      <c r="AF1" s="1" t="s">
        <v>43</v>
      </c>
      <c r="AG1" s="1" t="s">
        <v>45</v>
      </c>
    </row>
    <row r="2" spans="1:33" x14ac:dyDescent="0.25">
      <c r="A2" s="1" t="s">
        <v>15</v>
      </c>
      <c r="B2" s="1" t="s">
        <v>15</v>
      </c>
      <c r="C2" s="1">
        <v>414.07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>
        <v>0</v>
      </c>
      <c r="J2" s="1">
        <v>0.625</v>
      </c>
      <c r="K2" s="1">
        <v>1.25</v>
      </c>
      <c r="L2" s="1">
        <v>2.5</v>
      </c>
      <c r="M2" s="1">
        <v>5</v>
      </c>
      <c r="N2" s="1">
        <v>10</v>
      </c>
      <c r="O2" s="1" t="s">
        <v>21</v>
      </c>
      <c r="P2" s="1" t="s">
        <v>32</v>
      </c>
      <c r="Q2" s="1" t="s">
        <v>22</v>
      </c>
      <c r="R2" s="1" t="s">
        <v>35</v>
      </c>
      <c r="S2" s="1">
        <v>9.8000000000000004E-2</v>
      </c>
      <c r="T2" s="1">
        <v>50.69</v>
      </c>
      <c r="U2" s="1">
        <v>73.48</v>
      </c>
      <c r="V2" s="1">
        <v>95.43</v>
      </c>
      <c r="W2" s="1">
        <v>110.72</v>
      </c>
      <c r="X2" s="1">
        <v>148.57</v>
      </c>
      <c r="Y2" s="1" t="s">
        <v>23</v>
      </c>
      <c r="Z2" s="1" t="s">
        <v>24</v>
      </c>
      <c r="AA2" s="1" t="s">
        <v>25</v>
      </c>
      <c r="AB2" s="1">
        <v>28</v>
      </c>
      <c r="AC2" s="1">
        <f>28*24</f>
        <v>672</v>
      </c>
      <c r="AD2" s="1">
        <v>24</v>
      </c>
      <c r="AE2" s="1">
        <v>24</v>
      </c>
      <c r="AF2" s="1">
        <f>AC2/AD2</f>
        <v>28</v>
      </c>
      <c r="AG2" s="1">
        <f>AC2+24</f>
        <v>696</v>
      </c>
    </row>
    <row r="3" spans="1:3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"/>
  <sheetViews>
    <sheetView topLeftCell="S1" workbookViewId="0">
      <selection activeCell="A3" sqref="A1:AG3"/>
    </sheetView>
  </sheetViews>
  <sheetFormatPr defaultRowHeight="15" x14ac:dyDescent="0.25"/>
  <cols>
    <col min="4" max="4" width="9.7109375" bestFit="1" customWidth="1"/>
    <col min="16" max="16" width="15" bestFit="1" customWidth="1"/>
    <col min="17" max="17" width="68.85546875" bestFit="1" customWidth="1"/>
    <col min="18" max="18" width="68.85546875" customWidth="1"/>
    <col min="19" max="19" width="11.28515625" bestFit="1" customWidth="1"/>
    <col min="20" max="20" width="8.7109375" bestFit="1" customWidth="1"/>
    <col min="24" max="24" width="8.42578125" bestFit="1" customWidth="1"/>
    <col min="25" max="25" width="40.5703125" bestFit="1" customWidth="1"/>
    <col min="26" max="26" width="10.5703125" bestFit="1" customWidth="1"/>
    <col min="28" max="28" width="19.5703125" bestFit="1" customWidth="1"/>
    <col min="29" max="31" width="19.5703125" customWidth="1"/>
  </cols>
  <sheetData>
    <row r="1" spans="1:3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29</v>
      </c>
      <c r="G1" s="1" t="s">
        <v>30</v>
      </c>
      <c r="H1" s="1" t="s">
        <v>5</v>
      </c>
      <c r="I1" s="1" t="s">
        <v>48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31</v>
      </c>
      <c r="Q1" s="1" t="s">
        <v>33</v>
      </c>
      <c r="R1" s="1" t="s">
        <v>34</v>
      </c>
      <c r="S1" s="1" t="s">
        <v>49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12</v>
      </c>
      <c r="Z1" s="1" t="s">
        <v>41</v>
      </c>
      <c r="AA1" s="1" t="s">
        <v>13</v>
      </c>
      <c r="AB1" s="1" t="s">
        <v>14</v>
      </c>
      <c r="AC1" s="1" t="s">
        <v>44</v>
      </c>
      <c r="AD1" s="1" t="s">
        <v>42</v>
      </c>
      <c r="AE1" s="1" t="s">
        <v>46</v>
      </c>
      <c r="AF1" s="1" t="s">
        <v>43</v>
      </c>
      <c r="AG1" s="1" t="s">
        <v>45</v>
      </c>
    </row>
    <row r="2" spans="1:33" s="1" customFormat="1" x14ac:dyDescent="0.25">
      <c r="A2" s="1" t="s">
        <v>15</v>
      </c>
      <c r="B2" s="1" t="s">
        <v>15</v>
      </c>
      <c r="C2" s="1">
        <v>414.07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>
        <v>0</v>
      </c>
      <c r="J2" s="1">
        <v>0.625</v>
      </c>
      <c r="K2" s="1">
        <v>1.25</v>
      </c>
      <c r="L2" s="1">
        <v>2.5</v>
      </c>
      <c r="M2" s="1">
        <v>5</v>
      </c>
      <c r="N2" s="1">
        <v>10</v>
      </c>
      <c r="O2" s="1" t="s">
        <v>21</v>
      </c>
      <c r="P2" s="1" t="s">
        <v>32</v>
      </c>
      <c r="Q2" s="1" t="s">
        <v>22</v>
      </c>
      <c r="R2" s="1" t="s">
        <v>35</v>
      </c>
      <c r="S2" s="1">
        <v>9.8000000000000004E-2</v>
      </c>
      <c r="T2" s="1">
        <v>50.69</v>
      </c>
      <c r="U2" s="1">
        <v>73.48</v>
      </c>
      <c r="V2" s="1">
        <v>95.43</v>
      </c>
      <c r="W2" s="1">
        <v>110.72</v>
      </c>
      <c r="X2" s="1">
        <v>148.57</v>
      </c>
      <c r="Y2" s="1" t="s">
        <v>23</v>
      </c>
      <c r="Z2" s="1" t="s">
        <v>24</v>
      </c>
      <c r="AA2" s="1" t="s">
        <v>25</v>
      </c>
      <c r="AB2" s="1">
        <v>28</v>
      </c>
      <c r="AC2" s="1">
        <f>28*24</f>
        <v>672</v>
      </c>
      <c r="AD2" s="1">
        <v>24</v>
      </c>
      <c r="AE2" s="1">
        <v>24</v>
      </c>
      <c r="AF2" s="1">
        <f>AC2/AD2</f>
        <v>28</v>
      </c>
      <c r="AG2" s="1">
        <f>AC2+24</f>
        <v>696</v>
      </c>
    </row>
    <row r="3" spans="1:33" s="1" customFormat="1" x14ac:dyDescent="0.25">
      <c r="A3" s="1" t="s">
        <v>47</v>
      </c>
      <c r="B3" s="1" t="s">
        <v>26</v>
      </c>
      <c r="C3" s="1">
        <v>314.05</v>
      </c>
      <c r="D3" s="1" t="s">
        <v>16</v>
      </c>
      <c r="E3" s="1" t="s">
        <v>17</v>
      </c>
      <c r="F3" s="1" t="s">
        <v>18</v>
      </c>
      <c r="G3" s="1" t="s">
        <v>19</v>
      </c>
      <c r="H3" s="1" t="s">
        <v>27</v>
      </c>
      <c r="I3" s="1">
        <v>0</v>
      </c>
      <c r="J3" s="1">
        <v>62.6</v>
      </c>
      <c r="K3" s="1">
        <v>125</v>
      </c>
      <c r="L3" s="1">
        <v>250</v>
      </c>
      <c r="M3" s="1">
        <v>500</v>
      </c>
      <c r="N3" s="1">
        <v>1000</v>
      </c>
      <c r="O3" s="1" t="s">
        <v>21</v>
      </c>
      <c r="P3" s="1" t="s">
        <v>32</v>
      </c>
      <c r="Q3" s="1" t="s">
        <v>28</v>
      </c>
      <c r="R3" s="1" t="s">
        <v>35</v>
      </c>
      <c r="S3" s="1">
        <v>2.5000000000000001E-2</v>
      </c>
      <c r="T3" s="1">
        <v>0.378</v>
      </c>
      <c r="U3" s="1">
        <v>0.503</v>
      </c>
      <c r="V3" s="1">
        <v>1.2969999999999999</v>
      </c>
      <c r="W3" s="1">
        <v>3.339</v>
      </c>
      <c r="X3" s="1">
        <v>10.898999999999999</v>
      </c>
      <c r="Y3" s="1" t="s">
        <v>23</v>
      </c>
      <c r="Z3" s="1" t="s">
        <v>24</v>
      </c>
      <c r="AA3" s="1" t="s">
        <v>25</v>
      </c>
      <c r="AB3" s="1">
        <v>28</v>
      </c>
      <c r="AC3" s="1">
        <f>28*24</f>
        <v>672</v>
      </c>
      <c r="AD3" s="1">
        <v>24</v>
      </c>
      <c r="AE3" s="1">
        <v>6</v>
      </c>
      <c r="AF3" s="1">
        <f>AC3/AD3</f>
        <v>28</v>
      </c>
      <c r="AG3" s="1">
        <f>AC3+24</f>
        <v>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revised</vt:lpstr>
      <vt:lpstr>archive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Bolstad, Heather@OEHHA</dc:creator>
  <cp:lastModifiedBy>Coffin, Scott@OEHHA</cp:lastModifiedBy>
  <dcterms:created xsi:type="dcterms:W3CDTF">2024-09-04T22:43:26Z</dcterms:created>
  <dcterms:modified xsi:type="dcterms:W3CDTF">2024-09-11T17:53:58Z</dcterms:modified>
</cp:coreProperties>
</file>