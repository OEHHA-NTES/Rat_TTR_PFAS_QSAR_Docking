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cott.Coffin\OneDrive - California OEHHA\R\PFHpA\input\data\"/>
    </mc:Choice>
  </mc:AlternateContent>
  <xr:revisionPtr revIDLastSave="0" documentId="13_ncr:1_{745C755A-0892-48AC-872E-F38880653EF1}" xr6:coauthVersionLast="47" xr6:coauthVersionMax="47" xr10:uidLastSave="{00000000-0000-0000-0000-000000000000}"/>
  <bookViews>
    <workbookView xWindow="20370" yWindow="-468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4" i="1"/>
  <c r="G23" i="1"/>
  <c r="G22" i="1"/>
  <c r="G21" i="1"/>
  <c r="G20" i="1"/>
  <c r="G19" i="1"/>
  <c r="G18" i="1"/>
  <c r="G17" i="1"/>
  <c r="G90" i="1"/>
  <c r="G89" i="1"/>
  <c r="G88" i="1"/>
  <c r="G87" i="1"/>
  <c r="G86" i="1"/>
  <c r="G85" i="1"/>
  <c r="G84" i="1"/>
  <c r="G83" i="1"/>
  <c r="G96" i="1"/>
  <c r="G95" i="1"/>
  <c r="G100" i="1"/>
  <c r="G99" i="1"/>
  <c r="G98" i="1"/>
  <c r="G97" i="1"/>
  <c r="G94" i="1"/>
  <c r="G93" i="1"/>
  <c r="G92" i="1"/>
  <c r="G91" i="1"/>
  <c r="G16" i="1"/>
  <c r="G15" i="1"/>
  <c r="G14" i="1"/>
  <c r="G13" i="1"/>
  <c r="G12" i="1"/>
  <c r="G11" i="1"/>
  <c r="G10" i="1"/>
  <c r="G9" i="1"/>
  <c r="G25" i="1"/>
  <c r="G26" i="1"/>
  <c r="E26" i="1"/>
  <c r="E25" i="1"/>
  <c r="E16" i="1"/>
  <c r="E15" i="1"/>
  <c r="E14" i="1"/>
  <c r="E13" i="1"/>
  <c r="E9" i="1"/>
  <c r="E10" i="1"/>
  <c r="E11" i="1"/>
  <c r="E12" i="1"/>
</calcChain>
</file>

<file path=xl/sharedStrings.xml><?xml version="1.0" encoding="utf-8"?>
<sst xmlns="http://schemas.openxmlformats.org/spreadsheetml/2006/main" count="897" uniqueCount="26">
  <si>
    <t>chem</t>
  </si>
  <si>
    <t>species_name</t>
  </si>
  <si>
    <t>sex</t>
  </si>
  <si>
    <t>CLRen_L_kg_day.x</t>
  </si>
  <si>
    <t>CLTot_L_kg_day.x</t>
  </si>
  <si>
    <t>CLApp_L_kg_day.x</t>
  </si>
  <si>
    <t>strain.y</t>
  </si>
  <si>
    <t>route.y</t>
  </si>
  <si>
    <t>CL</t>
  </si>
  <si>
    <t>CL_app</t>
  </si>
  <si>
    <t>CL_ren</t>
  </si>
  <si>
    <t>pubmed_id</t>
  </si>
  <si>
    <t>PFOA</t>
  </si>
  <si>
    <t>Rat</t>
  </si>
  <si>
    <t>M</t>
  </si>
  <si>
    <t>NA</t>
  </si>
  <si>
    <t>Wistar</t>
  </si>
  <si>
    <t>Intravenous</t>
  </si>
  <si>
    <t>Sprague-Dawley</t>
  </si>
  <si>
    <t>F</t>
  </si>
  <si>
    <t>PFHXA</t>
  </si>
  <si>
    <t>Mouse</t>
  </si>
  <si>
    <t>PFHPA</t>
  </si>
  <si>
    <t>CLRen_L_kg_day_sd.x</t>
  </si>
  <si>
    <t>CLTot_L_kg_day_sd.x</t>
  </si>
  <si>
    <t>CLApp_L_kg_day_sd.x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</si>
</sst>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5A804D-5431-44B9-997A-C45E36204F8F}" name="Table1" displayName="Table1" ref="A1:O100" totalsRowShown="0">
  <autoFilter ref="A1:O100" xr:uid="{395A804D-5431-44B9-997A-C45E36204F8F}"/>
  <sortState xmlns:xlrd2="http://schemas.microsoft.com/office/spreadsheetml/2017/richdata2" ref="A9:O100">
    <sortCondition descending="1" ref="O1:O100"/>
  </sortState>
  <tableColumns count="15">
    <tableColumn id="2" xr3:uid="{5AD4F3EF-854B-45CC-90D7-8E1B1FABA057}" name="chem"/>
    <tableColumn id="3" xr3:uid="{E6A9E2EB-0B77-4891-ABA9-5173EAF12702}" name="species_name"/>
    <tableColumn id="4" xr3:uid="{3ADC1530-AE36-47FD-A699-FF55467D9776}" name="sex"/>
    <tableColumn id="5" xr3:uid="{143265C5-EEC0-4CDF-A33E-408053E692CC}" name="CLRen_L_kg_day.x"/>
    <tableColumn id="40" xr3:uid="{69E605ED-6411-4BB5-8D3C-CB6371C219AF}" name="CLRen_L_kg_day_sd.x"/>
    <tableColumn id="6" xr3:uid="{C300596E-6192-4BBC-B09E-4B60EC388E83}" name="CLTot_L_kg_day.x"/>
    <tableColumn id="41" xr3:uid="{B3DF8209-3578-458F-A14F-30636A12ED2E}" name="CLTot_L_kg_day_sd.x"/>
    <tableColumn id="7" xr3:uid="{D6672671-8F55-45F2-BA01-E18C6580F62B}" name="CLApp_L_kg_day.x"/>
    <tableColumn id="42" xr3:uid="{C583B18A-7004-4852-9D5A-23D2BFE78660}" name="CLApp_L_kg_day_sd.x"/>
    <tableColumn id="30" xr3:uid="{3BEE54FB-06B9-4E40-8EB9-6745E44ABDC9}" name="strain.y"/>
    <tableColumn id="31" xr3:uid="{8F342ED3-1B9A-4A51-A793-5D870469DFD5}" name="route.y"/>
    <tableColumn id="32" xr3:uid="{F6790FA1-5FA3-43C6-8240-79F79DED707F}" name="CL"/>
    <tableColumn id="33" xr3:uid="{81834709-9616-4F00-A7C7-3B47B23DF028}" name="CL_app"/>
    <tableColumn id="34" xr3:uid="{95AC26D7-EEC1-4DBE-8C51-B5DEB398C6C8}" name="CL_ren"/>
    <tableColumn id="36" xr3:uid="{7250EC42-055B-41CE-9E28-A5087D90748B}" name="pubmed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zoomScale="115" zoomScaleNormal="115" workbookViewId="0">
      <selection activeCell="A29" sqref="A29:XFD86"/>
    </sheetView>
  </sheetViews>
  <sheetFormatPr defaultRowHeight="15" x14ac:dyDescent="0.25"/>
  <cols>
    <col min="3" max="3" width="6.28515625" bestFit="1" customWidth="1"/>
    <col min="4" max="4" width="19.5703125" bestFit="1" customWidth="1"/>
    <col min="5" max="5" width="22.5703125" bestFit="1" customWidth="1"/>
    <col min="6" max="6" width="18.85546875" bestFit="1" customWidth="1"/>
    <col min="7" max="7" width="18.85546875" customWidth="1"/>
    <col min="8" max="8" width="19.7109375" bestFit="1" customWidth="1"/>
    <col min="9" max="9" width="19.7109375" customWidth="1"/>
    <col min="11" max="11" width="11.5703125" bestFit="1" customWidth="1"/>
    <col min="14" max="14" width="9.28515625" bestFit="1" customWidth="1"/>
    <col min="15" max="15" width="13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  <c r="G1" t="s">
        <v>24</v>
      </c>
      <c r="H1" t="s">
        <v>5</v>
      </c>
      <c r="I1" t="s">
        <v>25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20</v>
      </c>
      <c r="B2" t="s">
        <v>21</v>
      </c>
      <c r="C2" t="s">
        <v>14</v>
      </c>
      <c r="D2" t="s">
        <v>15</v>
      </c>
      <c r="F2" t="s">
        <v>15</v>
      </c>
      <c r="H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 spans="1:15" x14ac:dyDescent="0.25">
      <c r="A3" t="s">
        <v>20</v>
      </c>
      <c r="B3" t="s">
        <v>21</v>
      </c>
      <c r="C3" t="s">
        <v>14</v>
      </c>
      <c r="D3" t="s">
        <v>15</v>
      </c>
      <c r="F3" t="s">
        <v>15</v>
      </c>
      <c r="H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 t="s">
        <v>20</v>
      </c>
      <c r="B4" t="s">
        <v>21</v>
      </c>
      <c r="C4" t="s">
        <v>14</v>
      </c>
      <c r="D4" t="s">
        <v>15</v>
      </c>
      <c r="F4" t="s">
        <v>15</v>
      </c>
      <c r="H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 spans="1:15" x14ac:dyDescent="0.25">
      <c r="A5" t="s">
        <v>22</v>
      </c>
      <c r="B5" t="s">
        <v>21</v>
      </c>
      <c r="C5" t="s">
        <v>14</v>
      </c>
      <c r="D5" t="s">
        <v>15</v>
      </c>
      <c r="F5" t="s">
        <v>15</v>
      </c>
      <c r="H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</row>
    <row r="6" spans="1:15" x14ac:dyDescent="0.25">
      <c r="A6" t="s">
        <v>22</v>
      </c>
      <c r="B6" t="s">
        <v>21</v>
      </c>
      <c r="C6" t="s">
        <v>14</v>
      </c>
      <c r="D6" t="s">
        <v>15</v>
      </c>
      <c r="F6" t="s">
        <v>15</v>
      </c>
      <c r="H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</row>
    <row r="7" spans="1:15" x14ac:dyDescent="0.25">
      <c r="A7" t="s">
        <v>22</v>
      </c>
      <c r="B7" t="s">
        <v>21</v>
      </c>
      <c r="C7" t="s">
        <v>14</v>
      </c>
      <c r="D7" t="s">
        <v>15</v>
      </c>
      <c r="F7" t="s">
        <v>15</v>
      </c>
      <c r="H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15</v>
      </c>
    </row>
    <row r="8" spans="1:15" x14ac:dyDescent="0.25">
      <c r="A8" t="s">
        <v>22</v>
      </c>
      <c r="B8" t="s">
        <v>21</v>
      </c>
      <c r="C8" t="s">
        <v>14</v>
      </c>
      <c r="D8" t="s">
        <v>15</v>
      </c>
      <c r="F8" t="s">
        <v>15</v>
      </c>
      <c r="H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</row>
    <row r="9" spans="1:15" x14ac:dyDescent="0.25">
      <c r="A9" t="s">
        <v>12</v>
      </c>
      <c r="B9" t="s">
        <v>13</v>
      </c>
      <c r="C9" t="s">
        <v>14</v>
      </c>
      <c r="D9">
        <v>4.2599999999999999E-3</v>
      </c>
      <c r="E9">
        <f>0.03/1000</f>
        <v>2.9999999999999997E-5</v>
      </c>
      <c r="F9">
        <v>4.7399999999999998E-2</v>
      </c>
      <c r="G9">
        <f>3.4/1000</f>
        <v>3.3999999999999998E-3</v>
      </c>
      <c r="H9" t="s">
        <v>15</v>
      </c>
      <c r="J9" t="s">
        <v>18</v>
      </c>
      <c r="K9" t="s">
        <v>17</v>
      </c>
      <c r="L9">
        <v>1.9750000000000001</v>
      </c>
      <c r="M9" t="s">
        <v>15</v>
      </c>
      <c r="N9">
        <v>0.17749999999999999</v>
      </c>
      <c r="O9">
        <v>27637925</v>
      </c>
    </row>
    <row r="10" spans="1:15" x14ac:dyDescent="0.25">
      <c r="A10" t="s">
        <v>12</v>
      </c>
      <c r="B10" t="s">
        <v>13</v>
      </c>
      <c r="C10" t="s">
        <v>14</v>
      </c>
      <c r="D10">
        <v>4.2599999999999999E-3</v>
      </c>
      <c r="E10">
        <f>0.03/1000</f>
        <v>2.9999999999999997E-5</v>
      </c>
      <c r="F10">
        <v>4.7399999999999998E-2</v>
      </c>
      <c r="G10">
        <f>3.4/1000</f>
        <v>3.3999999999999998E-3</v>
      </c>
      <c r="H10" t="s">
        <v>15</v>
      </c>
      <c r="J10" t="s">
        <v>18</v>
      </c>
      <c r="K10" t="s">
        <v>17</v>
      </c>
      <c r="L10">
        <v>1.9750000000000001</v>
      </c>
      <c r="M10" t="s">
        <v>15</v>
      </c>
      <c r="N10">
        <v>0.17749999999999999</v>
      </c>
      <c r="O10">
        <v>27637925</v>
      </c>
    </row>
    <row r="11" spans="1:15" x14ac:dyDescent="0.25">
      <c r="A11" t="s">
        <v>12</v>
      </c>
      <c r="B11" t="s">
        <v>13</v>
      </c>
      <c r="C11" t="s">
        <v>14</v>
      </c>
      <c r="D11">
        <v>4.2599999999999999E-3</v>
      </c>
      <c r="E11">
        <f>0.03/1000</f>
        <v>2.9999999999999997E-5</v>
      </c>
      <c r="F11">
        <v>4.7399999999999998E-2</v>
      </c>
      <c r="G11">
        <f>3.4/1000</f>
        <v>3.3999999999999998E-3</v>
      </c>
      <c r="H11" t="s">
        <v>15</v>
      </c>
      <c r="J11" t="s">
        <v>18</v>
      </c>
      <c r="K11" t="s">
        <v>17</v>
      </c>
      <c r="L11">
        <v>1.9750000000000001</v>
      </c>
      <c r="M11" t="s">
        <v>15</v>
      </c>
      <c r="N11">
        <v>0.17749999999999999</v>
      </c>
      <c r="O11">
        <v>27637925</v>
      </c>
    </row>
    <row r="12" spans="1:15" x14ac:dyDescent="0.25">
      <c r="A12" t="s">
        <v>12</v>
      </c>
      <c r="B12" t="s">
        <v>13</v>
      </c>
      <c r="C12" t="s">
        <v>14</v>
      </c>
      <c r="D12">
        <v>4.2599999999999999E-3</v>
      </c>
      <c r="E12">
        <f>0.03/1000</f>
        <v>2.9999999999999997E-5</v>
      </c>
      <c r="F12">
        <v>4.7399999999999998E-2</v>
      </c>
      <c r="G12">
        <f>3.4/1000</f>
        <v>3.3999999999999998E-3</v>
      </c>
      <c r="H12" t="s">
        <v>15</v>
      </c>
      <c r="J12" t="s">
        <v>18</v>
      </c>
      <c r="K12" t="s">
        <v>17</v>
      </c>
      <c r="L12">
        <v>1.9750000000000001</v>
      </c>
      <c r="M12" t="s">
        <v>15</v>
      </c>
      <c r="N12">
        <v>0.17749999999999999</v>
      </c>
      <c r="O12">
        <v>27637925</v>
      </c>
    </row>
    <row r="13" spans="1:15" x14ac:dyDescent="0.25">
      <c r="A13" t="s">
        <v>12</v>
      </c>
      <c r="B13" t="s">
        <v>13</v>
      </c>
      <c r="C13" t="s">
        <v>14</v>
      </c>
      <c r="D13">
        <v>4.2599999999999999E-3</v>
      </c>
      <c r="E13">
        <f>0.03/1000</f>
        <v>2.9999999999999997E-5</v>
      </c>
      <c r="F13">
        <v>4.7399999999999998E-2</v>
      </c>
      <c r="G13">
        <f>3.4/1000</f>
        <v>3.3999999999999998E-3</v>
      </c>
      <c r="H13" t="s">
        <v>15</v>
      </c>
      <c r="J13" t="s">
        <v>18</v>
      </c>
      <c r="K13" t="s">
        <v>17</v>
      </c>
      <c r="L13">
        <v>1.9750000000000001</v>
      </c>
      <c r="M13" t="s">
        <v>15</v>
      </c>
      <c r="N13">
        <v>0.17749999999999999</v>
      </c>
      <c r="O13">
        <v>27637925</v>
      </c>
    </row>
    <row r="14" spans="1:15" x14ac:dyDescent="0.25">
      <c r="A14" t="s">
        <v>12</v>
      </c>
      <c r="B14" t="s">
        <v>13</v>
      </c>
      <c r="C14" t="s">
        <v>14</v>
      </c>
      <c r="D14">
        <v>4.2599999999999999E-3</v>
      </c>
      <c r="E14">
        <f>0.03/1000</f>
        <v>2.9999999999999997E-5</v>
      </c>
      <c r="F14">
        <v>4.7399999999999998E-2</v>
      </c>
      <c r="G14">
        <f>3.4/1000</f>
        <v>3.3999999999999998E-3</v>
      </c>
      <c r="H14" t="s">
        <v>15</v>
      </c>
      <c r="J14" t="s">
        <v>18</v>
      </c>
      <c r="K14" t="s">
        <v>17</v>
      </c>
      <c r="L14">
        <v>1.9750000000000001</v>
      </c>
      <c r="M14" t="s">
        <v>15</v>
      </c>
      <c r="N14">
        <v>0.17749999999999999</v>
      </c>
      <c r="O14">
        <v>27637925</v>
      </c>
    </row>
    <row r="15" spans="1:15" x14ac:dyDescent="0.25">
      <c r="A15" t="s">
        <v>12</v>
      </c>
      <c r="B15" t="s">
        <v>13</v>
      </c>
      <c r="C15" t="s">
        <v>14</v>
      </c>
      <c r="D15">
        <v>4.2599999999999999E-3</v>
      </c>
      <c r="E15">
        <f>0.03/1000</f>
        <v>2.9999999999999997E-5</v>
      </c>
      <c r="F15">
        <v>4.7399999999999998E-2</v>
      </c>
      <c r="G15">
        <f>3.4/1000</f>
        <v>3.3999999999999998E-3</v>
      </c>
      <c r="H15" t="s">
        <v>15</v>
      </c>
      <c r="J15" t="s">
        <v>18</v>
      </c>
      <c r="K15" t="s">
        <v>17</v>
      </c>
      <c r="L15">
        <v>1.9750000000000001</v>
      </c>
      <c r="M15" t="s">
        <v>15</v>
      </c>
      <c r="N15">
        <v>0.17749999999999999</v>
      </c>
      <c r="O15">
        <v>27637925</v>
      </c>
    </row>
    <row r="16" spans="1:15" x14ac:dyDescent="0.25">
      <c r="A16" t="s">
        <v>12</v>
      </c>
      <c r="B16" t="s">
        <v>13</v>
      </c>
      <c r="C16" t="s">
        <v>14</v>
      </c>
      <c r="D16">
        <v>4.2599999999999999E-3</v>
      </c>
      <c r="E16">
        <f>0.03/1000</f>
        <v>2.9999999999999997E-5</v>
      </c>
      <c r="F16">
        <v>4.7399999999999998E-2</v>
      </c>
      <c r="G16">
        <f>3.4/1000</f>
        <v>3.3999999999999998E-3</v>
      </c>
      <c r="H16" t="s">
        <v>15</v>
      </c>
      <c r="J16" t="s">
        <v>18</v>
      </c>
      <c r="K16" t="s">
        <v>17</v>
      </c>
      <c r="L16">
        <v>1.9750000000000001</v>
      </c>
      <c r="M16" t="s">
        <v>15</v>
      </c>
      <c r="N16">
        <v>0.17749999999999999</v>
      </c>
      <c r="O16">
        <v>27637925</v>
      </c>
    </row>
    <row r="17" spans="1:15" x14ac:dyDescent="0.25">
      <c r="A17" t="s">
        <v>12</v>
      </c>
      <c r="B17" t="s">
        <v>13</v>
      </c>
      <c r="C17" t="s">
        <v>14</v>
      </c>
      <c r="D17" t="s">
        <v>15</v>
      </c>
      <c r="F17">
        <v>5.0591999999999998E-2</v>
      </c>
      <c r="G17">
        <f>17/1000</f>
        <v>1.7000000000000001E-2</v>
      </c>
      <c r="H17" t="s">
        <v>15</v>
      </c>
      <c r="J17" t="s">
        <v>18</v>
      </c>
      <c r="K17" t="s">
        <v>17</v>
      </c>
      <c r="L17">
        <v>1.9750000000000001</v>
      </c>
      <c r="M17" t="s">
        <v>15</v>
      </c>
      <c r="N17">
        <v>0.17749999999999999</v>
      </c>
      <c r="O17">
        <v>27637925</v>
      </c>
    </row>
    <row r="18" spans="1:15" x14ac:dyDescent="0.25">
      <c r="A18" t="s">
        <v>12</v>
      </c>
      <c r="B18" t="s">
        <v>13</v>
      </c>
      <c r="C18" t="s">
        <v>14</v>
      </c>
      <c r="D18" t="s">
        <v>15</v>
      </c>
      <c r="F18">
        <v>5.0591999999999998E-2</v>
      </c>
      <c r="G18">
        <f>17/1000</f>
        <v>1.7000000000000001E-2</v>
      </c>
      <c r="H18" t="s">
        <v>15</v>
      </c>
      <c r="J18" t="s">
        <v>18</v>
      </c>
      <c r="K18" t="s">
        <v>17</v>
      </c>
      <c r="L18">
        <v>1.9750000000000001</v>
      </c>
      <c r="M18" t="s">
        <v>15</v>
      </c>
      <c r="N18">
        <v>0.17749999999999999</v>
      </c>
      <c r="O18">
        <v>27637925</v>
      </c>
    </row>
    <row r="19" spans="1:15" x14ac:dyDescent="0.25">
      <c r="A19" t="s">
        <v>12</v>
      </c>
      <c r="B19" t="s">
        <v>13</v>
      </c>
      <c r="C19" t="s">
        <v>14</v>
      </c>
      <c r="D19" t="s">
        <v>15</v>
      </c>
      <c r="F19">
        <v>5.0591999999999998E-2</v>
      </c>
      <c r="G19">
        <f>17/1000</f>
        <v>1.7000000000000001E-2</v>
      </c>
      <c r="H19" t="s">
        <v>15</v>
      </c>
      <c r="J19" t="s">
        <v>18</v>
      </c>
      <c r="K19" t="s">
        <v>17</v>
      </c>
      <c r="L19">
        <v>1.9750000000000001</v>
      </c>
      <c r="M19" t="s">
        <v>15</v>
      </c>
      <c r="N19">
        <v>0.17749999999999999</v>
      </c>
      <c r="O19">
        <v>27637925</v>
      </c>
    </row>
    <row r="20" spans="1:15" x14ac:dyDescent="0.25">
      <c r="A20" t="s">
        <v>12</v>
      </c>
      <c r="B20" t="s">
        <v>13</v>
      </c>
      <c r="C20" t="s">
        <v>14</v>
      </c>
      <c r="D20" t="s">
        <v>15</v>
      </c>
      <c r="F20">
        <v>5.0591999999999998E-2</v>
      </c>
      <c r="G20">
        <f>17/1000</f>
        <v>1.7000000000000001E-2</v>
      </c>
      <c r="H20" t="s">
        <v>15</v>
      </c>
      <c r="J20" t="s">
        <v>18</v>
      </c>
      <c r="K20" t="s">
        <v>17</v>
      </c>
      <c r="L20">
        <v>1.9750000000000001</v>
      </c>
      <c r="M20" t="s">
        <v>15</v>
      </c>
      <c r="N20">
        <v>0.17749999999999999</v>
      </c>
      <c r="O20">
        <v>27637925</v>
      </c>
    </row>
    <row r="21" spans="1:15" x14ac:dyDescent="0.25">
      <c r="A21" t="s">
        <v>12</v>
      </c>
      <c r="B21" t="s">
        <v>13</v>
      </c>
      <c r="C21" t="s">
        <v>14</v>
      </c>
      <c r="D21" t="s">
        <v>15</v>
      </c>
      <c r="F21">
        <v>5.0591999999999998E-2</v>
      </c>
      <c r="G21">
        <f>17/1000</f>
        <v>1.7000000000000001E-2</v>
      </c>
      <c r="H21" t="s">
        <v>15</v>
      </c>
      <c r="J21" t="s">
        <v>18</v>
      </c>
      <c r="K21" t="s">
        <v>17</v>
      </c>
      <c r="L21">
        <v>1.9750000000000001</v>
      </c>
      <c r="M21" t="s">
        <v>15</v>
      </c>
      <c r="N21">
        <v>0.17749999999999999</v>
      </c>
      <c r="O21">
        <v>27637925</v>
      </c>
    </row>
    <row r="22" spans="1:15" x14ac:dyDescent="0.25">
      <c r="A22" t="s">
        <v>12</v>
      </c>
      <c r="B22" t="s">
        <v>13</v>
      </c>
      <c r="C22" t="s">
        <v>14</v>
      </c>
      <c r="D22" t="s">
        <v>15</v>
      </c>
      <c r="F22">
        <v>5.0591999999999998E-2</v>
      </c>
      <c r="G22">
        <f>17/1000</f>
        <v>1.7000000000000001E-2</v>
      </c>
      <c r="H22" t="s">
        <v>15</v>
      </c>
      <c r="J22" t="s">
        <v>18</v>
      </c>
      <c r="K22" t="s">
        <v>17</v>
      </c>
      <c r="L22">
        <v>1.9750000000000001</v>
      </c>
      <c r="M22" t="s">
        <v>15</v>
      </c>
      <c r="N22">
        <v>0.17749999999999999</v>
      </c>
      <c r="O22">
        <v>27637925</v>
      </c>
    </row>
    <row r="23" spans="1:15" x14ac:dyDescent="0.25">
      <c r="A23" t="s">
        <v>12</v>
      </c>
      <c r="B23" t="s">
        <v>13</v>
      </c>
      <c r="C23" t="s">
        <v>14</v>
      </c>
      <c r="D23" t="s">
        <v>15</v>
      </c>
      <c r="F23">
        <v>5.0591999999999998E-2</v>
      </c>
      <c r="G23">
        <f>17/1000</f>
        <v>1.7000000000000001E-2</v>
      </c>
      <c r="H23" t="s">
        <v>15</v>
      </c>
      <c r="J23" t="s">
        <v>18</v>
      </c>
      <c r="K23" t="s">
        <v>17</v>
      </c>
      <c r="L23">
        <v>1.9750000000000001</v>
      </c>
      <c r="M23" t="s">
        <v>15</v>
      </c>
      <c r="N23">
        <v>0.17749999999999999</v>
      </c>
      <c r="O23">
        <v>27637925</v>
      </c>
    </row>
    <row r="24" spans="1:15" x14ac:dyDescent="0.25">
      <c r="A24" t="s">
        <v>12</v>
      </c>
      <c r="B24" t="s">
        <v>13</v>
      </c>
      <c r="C24" t="s">
        <v>14</v>
      </c>
      <c r="D24" t="s">
        <v>15</v>
      </c>
      <c r="F24">
        <v>5.0591999999999998E-2</v>
      </c>
      <c r="G24">
        <f>17/1000</f>
        <v>1.7000000000000001E-2</v>
      </c>
      <c r="H24" t="s">
        <v>15</v>
      </c>
      <c r="J24" t="s">
        <v>18</v>
      </c>
      <c r="K24" t="s">
        <v>17</v>
      </c>
      <c r="L24">
        <v>1.9750000000000001</v>
      </c>
      <c r="M24" t="s">
        <v>15</v>
      </c>
      <c r="N24">
        <v>0.17749999999999999</v>
      </c>
      <c r="O24">
        <v>27637925</v>
      </c>
    </row>
    <row r="25" spans="1:15" x14ac:dyDescent="0.25">
      <c r="A25" t="s">
        <v>12</v>
      </c>
      <c r="B25" t="s">
        <v>13</v>
      </c>
      <c r="C25" t="s">
        <v>19</v>
      </c>
      <c r="D25">
        <v>0.32351999999999997</v>
      </c>
      <c r="E25">
        <f>7.94/1000</f>
        <v>7.9400000000000009E-3</v>
      </c>
      <c r="F25">
        <v>0.61272000000000004</v>
      </c>
      <c r="G25">
        <f>32.54/1000</f>
        <v>3.2539999999999999E-2</v>
      </c>
      <c r="H25" t="s">
        <v>15</v>
      </c>
      <c r="J25" t="s">
        <v>18</v>
      </c>
      <c r="K25" t="s">
        <v>17</v>
      </c>
      <c r="L25">
        <v>25.53</v>
      </c>
      <c r="M25" t="s">
        <v>15</v>
      </c>
      <c r="N25">
        <v>13.48</v>
      </c>
      <c r="O25">
        <v>27637925</v>
      </c>
    </row>
    <row r="26" spans="1:15" x14ac:dyDescent="0.25">
      <c r="A26" t="s">
        <v>12</v>
      </c>
      <c r="B26" t="s">
        <v>13</v>
      </c>
      <c r="C26" t="s">
        <v>19</v>
      </c>
      <c r="D26">
        <v>0.32351999999999997</v>
      </c>
      <c r="E26">
        <f>7.94/1000</f>
        <v>7.9400000000000009E-3</v>
      </c>
      <c r="F26">
        <v>0.61272000000000004</v>
      </c>
      <c r="G26">
        <f>32.54/1000</f>
        <v>3.2539999999999999E-2</v>
      </c>
      <c r="H26" t="s">
        <v>15</v>
      </c>
      <c r="J26" t="s">
        <v>18</v>
      </c>
      <c r="K26" t="s">
        <v>17</v>
      </c>
      <c r="L26">
        <v>25.53</v>
      </c>
      <c r="M26" t="s">
        <v>15</v>
      </c>
      <c r="N26">
        <v>13.48</v>
      </c>
      <c r="O26">
        <v>27637925</v>
      </c>
    </row>
    <row r="27" spans="1:15" x14ac:dyDescent="0.25">
      <c r="A27" t="s">
        <v>12</v>
      </c>
      <c r="B27" t="s">
        <v>13</v>
      </c>
      <c r="C27" t="s">
        <v>19</v>
      </c>
      <c r="D27" t="s">
        <v>15</v>
      </c>
      <c r="F27">
        <v>2.2332000000000001</v>
      </c>
      <c r="G27">
        <f>805/1000</f>
        <v>0.80500000000000005</v>
      </c>
      <c r="H27" t="s">
        <v>15</v>
      </c>
      <c r="J27" t="s">
        <v>18</v>
      </c>
      <c r="K27" t="s">
        <v>17</v>
      </c>
      <c r="L27">
        <v>25.53</v>
      </c>
      <c r="M27" t="s">
        <v>15</v>
      </c>
      <c r="N27">
        <v>13.48</v>
      </c>
      <c r="O27">
        <v>27637925</v>
      </c>
    </row>
    <row r="28" spans="1:15" x14ac:dyDescent="0.25">
      <c r="A28" t="s">
        <v>12</v>
      </c>
      <c r="B28" t="s">
        <v>13</v>
      </c>
      <c r="C28" t="s">
        <v>19</v>
      </c>
      <c r="D28" t="s">
        <v>15</v>
      </c>
      <c r="F28">
        <v>2.2332000000000001</v>
      </c>
      <c r="G28">
        <f>805/1000</f>
        <v>0.80500000000000005</v>
      </c>
      <c r="H28" t="s">
        <v>15</v>
      </c>
      <c r="J28" t="s">
        <v>18</v>
      </c>
      <c r="K28" t="s">
        <v>17</v>
      </c>
      <c r="L28">
        <v>25.53</v>
      </c>
      <c r="M28" t="s">
        <v>15</v>
      </c>
      <c r="N28">
        <v>13.48</v>
      </c>
      <c r="O28">
        <v>27637925</v>
      </c>
    </row>
    <row r="29" spans="1:15" x14ac:dyDescent="0.25">
      <c r="A29" t="s">
        <v>20</v>
      </c>
      <c r="B29" t="s">
        <v>13</v>
      </c>
      <c r="C29" t="s">
        <v>19</v>
      </c>
      <c r="D29" t="s">
        <v>15</v>
      </c>
      <c r="F29">
        <v>18.600000000000001</v>
      </c>
      <c r="G29" t="s">
        <v>15</v>
      </c>
      <c r="H29">
        <v>18.600000000000001</v>
      </c>
      <c r="I29" t="s">
        <v>15</v>
      </c>
      <c r="J29" t="s">
        <v>18</v>
      </c>
      <c r="K29" t="s">
        <v>17</v>
      </c>
      <c r="L29">
        <v>775</v>
      </c>
      <c r="M29">
        <v>775</v>
      </c>
      <c r="N29" t="s">
        <v>15</v>
      </c>
      <c r="O29">
        <v>19429410</v>
      </c>
    </row>
    <row r="30" spans="1:15" x14ac:dyDescent="0.25">
      <c r="A30" t="s">
        <v>20</v>
      </c>
      <c r="B30" t="s">
        <v>13</v>
      </c>
      <c r="C30" t="s">
        <v>19</v>
      </c>
      <c r="D30" t="s">
        <v>15</v>
      </c>
      <c r="F30">
        <v>18.600000000000001</v>
      </c>
      <c r="G30" t="s">
        <v>15</v>
      </c>
      <c r="H30">
        <v>18.600000000000001</v>
      </c>
      <c r="I30" t="s">
        <v>15</v>
      </c>
      <c r="J30" t="s">
        <v>18</v>
      </c>
      <c r="K30" t="s">
        <v>17</v>
      </c>
      <c r="L30">
        <v>775</v>
      </c>
      <c r="M30">
        <v>775</v>
      </c>
      <c r="N30" t="s">
        <v>15</v>
      </c>
      <c r="O30">
        <v>19429410</v>
      </c>
    </row>
    <row r="31" spans="1:15" x14ac:dyDescent="0.25">
      <c r="A31" t="s">
        <v>20</v>
      </c>
      <c r="B31" t="s">
        <v>13</v>
      </c>
      <c r="C31" t="s">
        <v>19</v>
      </c>
      <c r="D31" t="s">
        <v>15</v>
      </c>
      <c r="F31">
        <v>18.600000000000001</v>
      </c>
      <c r="G31" t="s">
        <v>15</v>
      </c>
      <c r="H31">
        <v>18.600000000000001</v>
      </c>
      <c r="I31" t="s">
        <v>15</v>
      </c>
      <c r="J31" t="s">
        <v>18</v>
      </c>
      <c r="K31" t="s">
        <v>17</v>
      </c>
      <c r="L31">
        <v>775</v>
      </c>
      <c r="M31">
        <v>775</v>
      </c>
      <c r="N31" t="s">
        <v>15</v>
      </c>
      <c r="O31">
        <v>19429410</v>
      </c>
    </row>
    <row r="32" spans="1:15" x14ac:dyDescent="0.25">
      <c r="A32" t="s">
        <v>20</v>
      </c>
      <c r="B32" t="s">
        <v>13</v>
      </c>
      <c r="C32" t="s">
        <v>19</v>
      </c>
      <c r="D32" t="s">
        <v>15</v>
      </c>
      <c r="F32">
        <v>18.600000000000001</v>
      </c>
      <c r="G32" t="s">
        <v>15</v>
      </c>
      <c r="H32">
        <v>18.600000000000001</v>
      </c>
      <c r="I32" t="s">
        <v>15</v>
      </c>
      <c r="J32" t="s">
        <v>18</v>
      </c>
      <c r="K32" t="s">
        <v>17</v>
      </c>
      <c r="L32">
        <v>775</v>
      </c>
      <c r="M32">
        <v>775</v>
      </c>
      <c r="N32" t="s">
        <v>15</v>
      </c>
      <c r="O32">
        <v>19429410</v>
      </c>
    </row>
    <row r="33" spans="1:15" x14ac:dyDescent="0.25">
      <c r="A33" t="s">
        <v>20</v>
      </c>
      <c r="B33" t="s">
        <v>13</v>
      </c>
      <c r="C33" t="s">
        <v>19</v>
      </c>
      <c r="D33" t="s">
        <v>15</v>
      </c>
      <c r="F33">
        <v>18.600000000000001</v>
      </c>
      <c r="G33" t="s">
        <v>15</v>
      </c>
      <c r="H33">
        <v>18.600000000000001</v>
      </c>
      <c r="I33" t="s">
        <v>15</v>
      </c>
      <c r="J33" t="s">
        <v>18</v>
      </c>
      <c r="K33" t="s">
        <v>17</v>
      </c>
      <c r="L33">
        <v>775</v>
      </c>
      <c r="M33">
        <v>775</v>
      </c>
      <c r="N33" t="s">
        <v>15</v>
      </c>
      <c r="O33">
        <v>19429410</v>
      </c>
    </row>
    <row r="34" spans="1:15" x14ac:dyDescent="0.25">
      <c r="A34" t="s">
        <v>20</v>
      </c>
      <c r="B34" t="s">
        <v>13</v>
      </c>
      <c r="C34" t="s">
        <v>19</v>
      </c>
      <c r="D34" t="s">
        <v>15</v>
      </c>
      <c r="F34">
        <v>18.600000000000001</v>
      </c>
      <c r="G34" t="s">
        <v>15</v>
      </c>
      <c r="H34">
        <v>18.600000000000001</v>
      </c>
      <c r="I34" t="s">
        <v>15</v>
      </c>
      <c r="J34" t="s">
        <v>18</v>
      </c>
      <c r="K34" t="s">
        <v>17</v>
      </c>
      <c r="L34">
        <v>775</v>
      </c>
      <c r="M34">
        <v>775</v>
      </c>
      <c r="N34" t="s">
        <v>15</v>
      </c>
      <c r="O34">
        <v>19429410</v>
      </c>
    </row>
    <row r="35" spans="1:15" x14ac:dyDescent="0.25">
      <c r="A35" t="s">
        <v>20</v>
      </c>
      <c r="B35" t="s">
        <v>13</v>
      </c>
      <c r="C35" t="s">
        <v>19</v>
      </c>
      <c r="D35" t="s">
        <v>15</v>
      </c>
      <c r="F35">
        <v>18.600000000000001</v>
      </c>
      <c r="G35" t="s">
        <v>15</v>
      </c>
      <c r="H35">
        <v>18.600000000000001</v>
      </c>
      <c r="I35" t="s">
        <v>15</v>
      </c>
      <c r="J35" t="s">
        <v>18</v>
      </c>
      <c r="K35" t="s">
        <v>17</v>
      </c>
      <c r="L35">
        <v>775</v>
      </c>
      <c r="M35">
        <v>775</v>
      </c>
      <c r="N35" t="s">
        <v>15</v>
      </c>
      <c r="O35">
        <v>19429410</v>
      </c>
    </row>
    <row r="36" spans="1:15" x14ac:dyDescent="0.25">
      <c r="A36" t="s">
        <v>20</v>
      </c>
      <c r="B36" t="s">
        <v>13</v>
      </c>
      <c r="C36" t="s">
        <v>19</v>
      </c>
      <c r="D36" t="s">
        <v>15</v>
      </c>
      <c r="F36">
        <v>18.600000000000001</v>
      </c>
      <c r="G36" t="s">
        <v>15</v>
      </c>
      <c r="H36">
        <v>18.600000000000001</v>
      </c>
      <c r="I36" t="s">
        <v>15</v>
      </c>
      <c r="J36" t="s">
        <v>18</v>
      </c>
      <c r="K36" t="s">
        <v>17</v>
      </c>
      <c r="L36">
        <v>775</v>
      </c>
      <c r="M36">
        <v>775</v>
      </c>
      <c r="N36" t="s">
        <v>15</v>
      </c>
      <c r="O36">
        <v>19429410</v>
      </c>
    </row>
    <row r="37" spans="1:15" x14ac:dyDescent="0.25">
      <c r="A37" t="s">
        <v>20</v>
      </c>
      <c r="B37" t="s">
        <v>13</v>
      </c>
      <c r="C37" t="s">
        <v>19</v>
      </c>
      <c r="D37" t="s">
        <v>15</v>
      </c>
      <c r="F37">
        <v>18.600000000000001</v>
      </c>
      <c r="G37" t="s">
        <v>15</v>
      </c>
      <c r="H37">
        <v>18.600000000000001</v>
      </c>
      <c r="I37" t="s">
        <v>15</v>
      </c>
      <c r="J37" t="s">
        <v>18</v>
      </c>
      <c r="K37" t="s">
        <v>17</v>
      </c>
      <c r="L37">
        <v>775</v>
      </c>
      <c r="M37">
        <v>775</v>
      </c>
      <c r="N37" t="s">
        <v>15</v>
      </c>
      <c r="O37">
        <v>19429410</v>
      </c>
    </row>
    <row r="38" spans="1:15" x14ac:dyDescent="0.25">
      <c r="A38" t="s">
        <v>20</v>
      </c>
      <c r="B38" t="s">
        <v>13</v>
      </c>
      <c r="C38" t="s">
        <v>19</v>
      </c>
      <c r="D38" t="s">
        <v>15</v>
      </c>
      <c r="F38">
        <v>18.600000000000001</v>
      </c>
      <c r="G38" t="s">
        <v>15</v>
      </c>
      <c r="H38">
        <v>18.600000000000001</v>
      </c>
      <c r="I38" t="s">
        <v>15</v>
      </c>
      <c r="J38" t="s">
        <v>18</v>
      </c>
      <c r="K38" t="s">
        <v>17</v>
      </c>
      <c r="L38">
        <v>775</v>
      </c>
      <c r="M38">
        <v>775</v>
      </c>
      <c r="N38" t="s">
        <v>15</v>
      </c>
      <c r="O38">
        <v>19429410</v>
      </c>
    </row>
    <row r="39" spans="1:15" x14ac:dyDescent="0.25">
      <c r="A39" t="s">
        <v>20</v>
      </c>
      <c r="B39" t="s">
        <v>13</v>
      </c>
      <c r="C39" t="s">
        <v>19</v>
      </c>
      <c r="D39" t="s">
        <v>15</v>
      </c>
      <c r="F39">
        <v>18.600000000000001</v>
      </c>
      <c r="G39" t="s">
        <v>15</v>
      </c>
      <c r="H39">
        <v>18.600000000000001</v>
      </c>
      <c r="I39" t="s">
        <v>15</v>
      </c>
      <c r="J39" t="s">
        <v>18</v>
      </c>
      <c r="K39" t="s">
        <v>17</v>
      </c>
      <c r="L39">
        <v>775</v>
      </c>
      <c r="M39">
        <v>775</v>
      </c>
      <c r="N39" t="s">
        <v>15</v>
      </c>
      <c r="O39">
        <v>19429410</v>
      </c>
    </row>
    <row r="40" spans="1:15" x14ac:dyDescent="0.25">
      <c r="A40" t="s">
        <v>20</v>
      </c>
      <c r="B40" t="s">
        <v>13</v>
      </c>
      <c r="C40" t="s">
        <v>19</v>
      </c>
      <c r="D40" t="s">
        <v>15</v>
      </c>
      <c r="F40">
        <v>18.600000000000001</v>
      </c>
      <c r="G40" t="s">
        <v>15</v>
      </c>
      <c r="H40">
        <v>18.600000000000001</v>
      </c>
      <c r="I40" t="s">
        <v>15</v>
      </c>
      <c r="J40" t="s">
        <v>18</v>
      </c>
      <c r="K40" t="s">
        <v>17</v>
      </c>
      <c r="L40">
        <v>775</v>
      </c>
      <c r="M40">
        <v>775</v>
      </c>
      <c r="N40" t="s">
        <v>15</v>
      </c>
      <c r="O40">
        <v>19429410</v>
      </c>
    </row>
    <row r="41" spans="1:15" x14ac:dyDescent="0.25">
      <c r="A41" t="s">
        <v>20</v>
      </c>
      <c r="B41" t="s">
        <v>13</v>
      </c>
      <c r="C41" t="s">
        <v>19</v>
      </c>
      <c r="D41" t="s">
        <v>15</v>
      </c>
      <c r="F41">
        <v>18.600000000000001</v>
      </c>
      <c r="G41" t="s">
        <v>15</v>
      </c>
      <c r="H41">
        <v>18.600000000000001</v>
      </c>
      <c r="I41" t="s">
        <v>15</v>
      </c>
      <c r="J41" t="s">
        <v>18</v>
      </c>
      <c r="K41" t="s">
        <v>17</v>
      </c>
      <c r="L41">
        <v>775</v>
      </c>
      <c r="M41">
        <v>775</v>
      </c>
      <c r="N41" t="s">
        <v>15</v>
      </c>
      <c r="O41">
        <v>19429410</v>
      </c>
    </row>
    <row r="42" spans="1:15" x14ac:dyDescent="0.25">
      <c r="A42" t="s">
        <v>20</v>
      </c>
      <c r="B42" t="s">
        <v>13</v>
      </c>
      <c r="C42" t="s">
        <v>19</v>
      </c>
      <c r="D42" t="s">
        <v>15</v>
      </c>
      <c r="F42">
        <v>18.600000000000001</v>
      </c>
      <c r="G42" t="s">
        <v>15</v>
      </c>
      <c r="H42">
        <v>18.600000000000001</v>
      </c>
      <c r="I42" t="s">
        <v>15</v>
      </c>
      <c r="J42" t="s">
        <v>18</v>
      </c>
      <c r="K42" t="s">
        <v>17</v>
      </c>
      <c r="L42">
        <v>775</v>
      </c>
      <c r="M42">
        <v>775</v>
      </c>
      <c r="N42" t="s">
        <v>15</v>
      </c>
      <c r="O42">
        <v>19429410</v>
      </c>
    </row>
    <row r="43" spans="1:15" x14ac:dyDescent="0.25">
      <c r="A43" t="s">
        <v>20</v>
      </c>
      <c r="B43" t="s">
        <v>13</v>
      </c>
      <c r="C43" t="s">
        <v>19</v>
      </c>
      <c r="D43" t="s">
        <v>15</v>
      </c>
      <c r="F43">
        <v>18.600000000000001</v>
      </c>
      <c r="G43" t="s">
        <v>15</v>
      </c>
      <c r="H43">
        <v>18.600000000000001</v>
      </c>
      <c r="I43" t="s">
        <v>15</v>
      </c>
      <c r="J43" t="s">
        <v>18</v>
      </c>
      <c r="K43" t="s">
        <v>17</v>
      </c>
      <c r="L43">
        <v>775</v>
      </c>
      <c r="M43">
        <v>775</v>
      </c>
      <c r="N43" t="s">
        <v>15</v>
      </c>
      <c r="O43">
        <v>19429410</v>
      </c>
    </row>
    <row r="44" spans="1:15" x14ac:dyDescent="0.25">
      <c r="A44" t="s">
        <v>20</v>
      </c>
      <c r="B44" t="s">
        <v>13</v>
      </c>
      <c r="C44" t="s">
        <v>19</v>
      </c>
      <c r="D44" t="s">
        <v>15</v>
      </c>
      <c r="F44">
        <v>18.600000000000001</v>
      </c>
      <c r="G44" t="s">
        <v>15</v>
      </c>
      <c r="H44">
        <v>18.600000000000001</v>
      </c>
      <c r="I44" t="s">
        <v>15</v>
      </c>
      <c r="J44" t="s">
        <v>18</v>
      </c>
      <c r="K44" t="s">
        <v>17</v>
      </c>
      <c r="L44">
        <v>775</v>
      </c>
      <c r="M44">
        <v>775</v>
      </c>
      <c r="N44" t="s">
        <v>15</v>
      </c>
      <c r="O44">
        <v>19429410</v>
      </c>
    </row>
    <row r="45" spans="1:15" x14ac:dyDescent="0.25">
      <c r="A45" t="s">
        <v>20</v>
      </c>
      <c r="B45" t="s">
        <v>13</v>
      </c>
      <c r="C45" t="s">
        <v>19</v>
      </c>
      <c r="D45" t="s">
        <v>15</v>
      </c>
      <c r="F45">
        <v>18.600000000000001</v>
      </c>
      <c r="G45" t="s">
        <v>15</v>
      </c>
      <c r="H45">
        <v>18.600000000000001</v>
      </c>
      <c r="I45" t="s">
        <v>15</v>
      </c>
      <c r="J45" t="s">
        <v>18</v>
      </c>
      <c r="K45" t="s">
        <v>17</v>
      </c>
      <c r="L45">
        <v>775</v>
      </c>
      <c r="M45">
        <v>775</v>
      </c>
      <c r="N45" t="s">
        <v>15</v>
      </c>
      <c r="O45">
        <v>19429410</v>
      </c>
    </row>
    <row r="46" spans="1:15" x14ac:dyDescent="0.25">
      <c r="A46" t="s">
        <v>20</v>
      </c>
      <c r="B46" t="s">
        <v>13</v>
      </c>
      <c r="C46" t="s">
        <v>19</v>
      </c>
      <c r="D46" t="s">
        <v>15</v>
      </c>
      <c r="F46">
        <v>18.600000000000001</v>
      </c>
      <c r="G46" t="s">
        <v>15</v>
      </c>
      <c r="H46">
        <v>18.600000000000001</v>
      </c>
      <c r="I46" t="s">
        <v>15</v>
      </c>
      <c r="J46" t="s">
        <v>18</v>
      </c>
      <c r="K46" t="s">
        <v>17</v>
      </c>
      <c r="L46">
        <v>775</v>
      </c>
      <c r="M46">
        <v>775</v>
      </c>
      <c r="N46" t="s">
        <v>15</v>
      </c>
      <c r="O46">
        <v>19429410</v>
      </c>
    </row>
    <row r="47" spans="1:15" x14ac:dyDescent="0.25">
      <c r="A47" t="s">
        <v>20</v>
      </c>
      <c r="B47" t="s">
        <v>13</v>
      </c>
      <c r="C47" t="s">
        <v>19</v>
      </c>
      <c r="D47" t="s">
        <v>15</v>
      </c>
      <c r="F47">
        <v>18.600000000000001</v>
      </c>
      <c r="G47" t="s">
        <v>15</v>
      </c>
      <c r="H47">
        <v>18.600000000000001</v>
      </c>
      <c r="I47" t="s">
        <v>15</v>
      </c>
      <c r="J47" t="s">
        <v>18</v>
      </c>
      <c r="K47" t="s">
        <v>17</v>
      </c>
      <c r="L47">
        <v>775</v>
      </c>
      <c r="M47">
        <v>775</v>
      </c>
      <c r="N47" t="s">
        <v>15</v>
      </c>
      <c r="O47">
        <v>19429410</v>
      </c>
    </row>
    <row r="48" spans="1:15" x14ac:dyDescent="0.25">
      <c r="A48" t="s">
        <v>20</v>
      </c>
      <c r="B48" t="s">
        <v>13</v>
      </c>
      <c r="C48" t="s">
        <v>19</v>
      </c>
      <c r="D48" t="s">
        <v>15</v>
      </c>
      <c r="F48">
        <v>18.600000000000001</v>
      </c>
      <c r="G48" t="s">
        <v>15</v>
      </c>
      <c r="H48">
        <v>18.600000000000001</v>
      </c>
      <c r="I48" t="s">
        <v>15</v>
      </c>
      <c r="J48" t="s">
        <v>18</v>
      </c>
      <c r="K48" t="s">
        <v>17</v>
      </c>
      <c r="L48">
        <v>775</v>
      </c>
      <c r="M48">
        <v>775</v>
      </c>
      <c r="N48" t="s">
        <v>15</v>
      </c>
      <c r="O48">
        <v>19429410</v>
      </c>
    </row>
    <row r="49" spans="1:15" x14ac:dyDescent="0.25">
      <c r="A49" t="s">
        <v>20</v>
      </c>
      <c r="B49" t="s">
        <v>13</v>
      </c>
      <c r="C49" t="s">
        <v>19</v>
      </c>
      <c r="D49" t="s">
        <v>15</v>
      </c>
      <c r="F49">
        <v>18.600000000000001</v>
      </c>
      <c r="G49" t="s">
        <v>15</v>
      </c>
      <c r="H49">
        <v>18.600000000000001</v>
      </c>
      <c r="I49" t="s">
        <v>15</v>
      </c>
      <c r="J49" t="s">
        <v>18</v>
      </c>
      <c r="K49" t="s">
        <v>17</v>
      </c>
      <c r="L49">
        <v>775</v>
      </c>
      <c r="M49">
        <v>775</v>
      </c>
      <c r="N49" t="s">
        <v>15</v>
      </c>
      <c r="O49">
        <v>19429410</v>
      </c>
    </row>
    <row r="50" spans="1:15" x14ac:dyDescent="0.25">
      <c r="A50" t="s">
        <v>20</v>
      </c>
      <c r="B50" t="s">
        <v>13</v>
      </c>
      <c r="C50" t="s">
        <v>19</v>
      </c>
      <c r="D50" t="s">
        <v>15</v>
      </c>
      <c r="F50">
        <v>18.600000000000001</v>
      </c>
      <c r="G50" t="s">
        <v>15</v>
      </c>
      <c r="H50">
        <v>18.600000000000001</v>
      </c>
      <c r="I50" t="s">
        <v>15</v>
      </c>
      <c r="J50" t="s">
        <v>18</v>
      </c>
      <c r="K50" t="s">
        <v>17</v>
      </c>
      <c r="L50">
        <v>775</v>
      </c>
      <c r="M50">
        <v>775</v>
      </c>
      <c r="N50" t="s">
        <v>15</v>
      </c>
      <c r="O50">
        <v>19429410</v>
      </c>
    </row>
    <row r="51" spans="1:15" x14ac:dyDescent="0.25">
      <c r="A51" t="s">
        <v>20</v>
      </c>
      <c r="B51" t="s">
        <v>13</v>
      </c>
      <c r="C51" t="s">
        <v>19</v>
      </c>
      <c r="D51" t="s">
        <v>15</v>
      </c>
      <c r="F51">
        <v>18.600000000000001</v>
      </c>
      <c r="G51" t="s">
        <v>15</v>
      </c>
      <c r="H51">
        <v>18.600000000000001</v>
      </c>
      <c r="I51" t="s">
        <v>15</v>
      </c>
      <c r="J51" t="s">
        <v>18</v>
      </c>
      <c r="K51" t="s">
        <v>17</v>
      </c>
      <c r="L51">
        <v>775</v>
      </c>
      <c r="M51">
        <v>775</v>
      </c>
      <c r="N51" t="s">
        <v>15</v>
      </c>
      <c r="O51">
        <v>19429410</v>
      </c>
    </row>
    <row r="52" spans="1:15" x14ac:dyDescent="0.25">
      <c r="A52" t="s">
        <v>20</v>
      </c>
      <c r="B52" t="s">
        <v>13</v>
      </c>
      <c r="C52" t="s">
        <v>19</v>
      </c>
      <c r="D52" t="s">
        <v>15</v>
      </c>
      <c r="F52">
        <v>18.600000000000001</v>
      </c>
      <c r="G52" t="s">
        <v>15</v>
      </c>
      <c r="H52">
        <v>18.600000000000001</v>
      </c>
      <c r="I52" t="s">
        <v>15</v>
      </c>
      <c r="J52" t="s">
        <v>18</v>
      </c>
      <c r="K52" t="s">
        <v>17</v>
      </c>
      <c r="L52">
        <v>775</v>
      </c>
      <c r="M52">
        <v>775</v>
      </c>
      <c r="N52" t="s">
        <v>15</v>
      </c>
      <c r="O52">
        <v>19429410</v>
      </c>
    </row>
    <row r="53" spans="1:15" x14ac:dyDescent="0.25">
      <c r="A53" t="s">
        <v>20</v>
      </c>
      <c r="B53" t="s">
        <v>13</v>
      </c>
      <c r="C53" t="s">
        <v>19</v>
      </c>
      <c r="D53" t="s">
        <v>15</v>
      </c>
      <c r="F53">
        <v>18.600000000000001</v>
      </c>
      <c r="G53" t="s">
        <v>15</v>
      </c>
      <c r="H53">
        <v>18.600000000000001</v>
      </c>
      <c r="I53" t="s">
        <v>15</v>
      </c>
      <c r="J53" t="s">
        <v>18</v>
      </c>
      <c r="K53" t="s">
        <v>17</v>
      </c>
      <c r="L53">
        <v>775</v>
      </c>
      <c r="M53">
        <v>775</v>
      </c>
      <c r="N53" t="s">
        <v>15</v>
      </c>
      <c r="O53">
        <v>19429410</v>
      </c>
    </row>
    <row r="54" spans="1:15" x14ac:dyDescent="0.25">
      <c r="A54" t="s">
        <v>20</v>
      </c>
      <c r="B54" t="s">
        <v>13</v>
      </c>
      <c r="C54" t="s">
        <v>19</v>
      </c>
      <c r="D54" t="s">
        <v>15</v>
      </c>
      <c r="F54">
        <v>18.600000000000001</v>
      </c>
      <c r="G54" t="s">
        <v>15</v>
      </c>
      <c r="H54">
        <v>18.600000000000001</v>
      </c>
      <c r="I54" t="s">
        <v>15</v>
      </c>
      <c r="J54" t="s">
        <v>18</v>
      </c>
      <c r="K54" t="s">
        <v>17</v>
      </c>
      <c r="L54">
        <v>775</v>
      </c>
      <c r="M54">
        <v>775</v>
      </c>
      <c r="N54" t="s">
        <v>15</v>
      </c>
      <c r="O54">
        <v>19429410</v>
      </c>
    </row>
    <row r="55" spans="1:15" x14ac:dyDescent="0.25">
      <c r="A55" t="s">
        <v>20</v>
      </c>
      <c r="B55" t="s">
        <v>13</v>
      </c>
      <c r="C55" t="s">
        <v>19</v>
      </c>
      <c r="D55" t="s">
        <v>15</v>
      </c>
      <c r="F55">
        <v>18.600000000000001</v>
      </c>
      <c r="G55" t="s">
        <v>15</v>
      </c>
      <c r="H55">
        <v>18.600000000000001</v>
      </c>
      <c r="I55" t="s">
        <v>15</v>
      </c>
      <c r="J55" t="s">
        <v>18</v>
      </c>
      <c r="K55" t="s">
        <v>17</v>
      </c>
      <c r="L55">
        <v>775</v>
      </c>
      <c r="M55">
        <v>775</v>
      </c>
      <c r="N55" t="s">
        <v>15</v>
      </c>
      <c r="O55">
        <v>19429410</v>
      </c>
    </row>
    <row r="56" spans="1:15" x14ac:dyDescent="0.25">
      <c r="A56" t="s">
        <v>20</v>
      </c>
      <c r="B56" t="s">
        <v>13</v>
      </c>
      <c r="C56" t="s">
        <v>14</v>
      </c>
      <c r="D56" t="s">
        <v>15</v>
      </c>
      <c r="F56">
        <v>2.7839999999999998</v>
      </c>
      <c r="G56" t="s">
        <v>15</v>
      </c>
      <c r="H56">
        <v>2.7839999999999998</v>
      </c>
      <c r="I56" t="s">
        <v>15</v>
      </c>
      <c r="J56" t="s">
        <v>18</v>
      </c>
      <c r="K56" t="s">
        <v>17</v>
      </c>
      <c r="L56">
        <v>116</v>
      </c>
      <c r="M56">
        <v>116</v>
      </c>
      <c r="N56" t="s">
        <v>15</v>
      </c>
      <c r="O56">
        <v>19429410</v>
      </c>
    </row>
    <row r="57" spans="1:15" x14ac:dyDescent="0.25">
      <c r="A57" t="s">
        <v>20</v>
      </c>
      <c r="B57" t="s">
        <v>13</v>
      </c>
      <c r="C57" t="s">
        <v>14</v>
      </c>
      <c r="D57" t="s">
        <v>15</v>
      </c>
      <c r="F57">
        <v>2.7839999999999998</v>
      </c>
      <c r="G57" t="s">
        <v>15</v>
      </c>
      <c r="H57">
        <v>2.7839999999999998</v>
      </c>
      <c r="I57" t="s">
        <v>15</v>
      </c>
      <c r="J57" t="s">
        <v>18</v>
      </c>
      <c r="K57" t="s">
        <v>17</v>
      </c>
      <c r="L57">
        <v>116</v>
      </c>
      <c r="M57">
        <v>116</v>
      </c>
      <c r="N57" t="s">
        <v>15</v>
      </c>
      <c r="O57">
        <v>19429410</v>
      </c>
    </row>
    <row r="58" spans="1:15" x14ac:dyDescent="0.25">
      <c r="A58" t="s">
        <v>20</v>
      </c>
      <c r="B58" t="s">
        <v>13</v>
      </c>
      <c r="C58" t="s">
        <v>14</v>
      </c>
      <c r="D58" t="s">
        <v>15</v>
      </c>
      <c r="F58">
        <v>2.7839999999999998</v>
      </c>
      <c r="G58" t="s">
        <v>15</v>
      </c>
      <c r="H58">
        <v>2.7839999999999998</v>
      </c>
      <c r="I58" t="s">
        <v>15</v>
      </c>
      <c r="J58" t="s">
        <v>18</v>
      </c>
      <c r="K58" t="s">
        <v>17</v>
      </c>
      <c r="L58">
        <v>116</v>
      </c>
      <c r="M58">
        <v>116</v>
      </c>
      <c r="N58" t="s">
        <v>15</v>
      </c>
      <c r="O58">
        <v>19429410</v>
      </c>
    </row>
    <row r="59" spans="1:15" x14ac:dyDescent="0.25">
      <c r="A59" t="s">
        <v>20</v>
      </c>
      <c r="B59" t="s">
        <v>13</v>
      </c>
      <c r="C59" t="s">
        <v>14</v>
      </c>
      <c r="D59" t="s">
        <v>15</v>
      </c>
      <c r="F59">
        <v>2.7839999999999998</v>
      </c>
      <c r="G59" t="s">
        <v>15</v>
      </c>
      <c r="H59">
        <v>2.7839999999999998</v>
      </c>
      <c r="I59" t="s">
        <v>15</v>
      </c>
      <c r="J59" t="s">
        <v>18</v>
      </c>
      <c r="K59" t="s">
        <v>17</v>
      </c>
      <c r="L59">
        <v>116</v>
      </c>
      <c r="M59">
        <v>116</v>
      </c>
      <c r="N59" t="s">
        <v>15</v>
      </c>
      <c r="O59">
        <v>19429410</v>
      </c>
    </row>
    <row r="60" spans="1:15" x14ac:dyDescent="0.25">
      <c r="A60" t="s">
        <v>20</v>
      </c>
      <c r="B60" t="s">
        <v>13</v>
      </c>
      <c r="C60" t="s">
        <v>14</v>
      </c>
      <c r="D60" t="s">
        <v>15</v>
      </c>
      <c r="F60">
        <v>2.7839999999999998</v>
      </c>
      <c r="G60" t="s">
        <v>15</v>
      </c>
      <c r="H60">
        <v>2.7839999999999998</v>
      </c>
      <c r="I60" t="s">
        <v>15</v>
      </c>
      <c r="J60" t="s">
        <v>18</v>
      </c>
      <c r="K60" t="s">
        <v>17</v>
      </c>
      <c r="L60">
        <v>116</v>
      </c>
      <c r="M60">
        <v>116</v>
      </c>
      <c r="N60" t="s">
        <v>15</v>
      </c>
      <c r="O60">
        <v>19429410</v>
      </c>
    </row>
    <row r="61" spans="1:15" x14ac:dyDescent="0.25">
      <c r="A61" t="s">
        <v>20</v>
      </c>
      <c r="B61" t="s">
        <v>13</v>
      </c>
      <c r="C61" t="s">
        <v>14</v>
      </c>
      <c r="D61" t="s">
        <v>15</v>
      </c>
      <c r="F61">
        <v>2.7839999999999998</v>
      </c>
      <c r="G61" t="s">
        <v>15</v>
      </c>
      <c r="H61">
        <v>2.7839999999999998</v>
      </c>
      <c r="I61" t="s">
        <v>15</v>
      </c>
      <c r="J61" t="s">
        <v>18</v>
      </c>
      <c r="K61" t="s">
        <v>17</v>
      </c>
      <c r="L61">
        <v>116</v>
      </c>
      <c r="M61">
        <v>116</v>
      </c>
      <c r="N61" t="s">
        <v>15</v>
      </c>
      <c r="O61">
        <v>19429410</v>
      </c>
    </row>
    <row r="62" spans="1:15" x14ac:dyDescent="0.25">
      <c r="A62" t="s">
        <v>20</v>
      </c>
      <c r="B62" t="s">
        <v>13</v>
      </c>
      <c r="C62" t="s">
        <v>14</v>
      </c>
      <c r="D62" t="s">
        <v>15</v>
      </c>
      <c r="F62">
        <v>2.7839999999999998</v>
      </c>
      <c r="G62" t="s">
        <v>15</v>
      </c>
      <c r="H62">
        <v>2.7839999999999998</v>
      </c>
      <c r="I62" t="s">
        <v>15</v>
      </c>
      <c r="J62" t="s">
        <v>18</v>
      </c>
      <c r="K62" t="s">
        <v>17</v>
      </c>
      <c r="L62">
        <v>116</v>
      </c>
      <c r="M62">
        <v>116</v>
      </c>
      <c r="N62" t="s">
        <v>15</v>
      </c>
      <c r="O62">
        <v>19429410</v>
      </c>
    </row>
    <row r="63" spans="1:15" x14ac:dyDescent="0.25">
      <c r="A63" t="s">
        <v>20</v>
      </c>
      <c r="B63" t="s">
        <v>13</v>
      </c>
      <c r="C63" t="s">
        <v>14</v>
      </c>
      <c r="D63" t="s">
        <v>15</v>
      </c>
      <c r="F63">
        <v>2.7839999999999998</v>
      </c>
      <c r="G63" t="s">
        <v>15</v>
      </c>
      <c r="H63">
        <v>2.7839999999999998</v>
      </c>
      <c r="I63" t="s">
        <v>15</v>
      </c>
      <c r="J63" t="s">
        <v>18</v>
      </c>
      <c r="K63" t="s">
        <v>17</v>
      </c>
      <c r="L63">
        <v>116</v>
      </c>
      <c r="M63">
        <v>116</v>
      </c>
      <c r="N63" t="s">
        <v>15</v>
      </c>
      <c r="O63">
        <v>19429410</v>
      </c>
    </row>
    <row r="64" spans="1:15" x14ac:dyDescent="0.25">
      <c r="A64" t="s">
        <v>20</v>
      </c>
      <c r="B64" t="s">
        <v>13</v>
      </c>
      <c r="C64" t="s">
        <v>14</v>
      </c>
      <c r="D64" t="s">
        <v>15</v>
      </c>
      <c r="F64">
        <v>2.7839999999999998</v>
      </c>
      <c r="G64" t="s">
        <v>15</v>
      </c>
      <c r="H64">
        <v>2.7839999999999998</v>
      </c>
      <c r="I64" t="s">
        <v>15</v>
      </c>
      <c r="J64" t="s">
        <v>18</v>
      </c>
      <c r="K64" t="s">
        <v>17</v>
      </c>
      <c r="L64">
        <v>116</v>
      </c>
      <c r="M64">
        <v>116</v>
      </c>
      <c r="N64" t="s">
        <v>15</v>
      </c>
      <c r="O64">
        <v>19429410</v>
      </c>
    </row>
    <row r="65" spans="1:15" x14ac:dyDescent="0.25">
      <c r="A65" t="s">
        <v>20</v>
      </c>
      <c r="B65" t="s">
        <v>13</v>
      </c>
      <c r="C65" t="s">
        <v>14</v>
      </c>
      <c r="D65" t="s">
        <v>15</v>
      </c>
      <c r="F65">
        <v>2.7839999999999998</v>
      </c>
      <c r="G65" t="s">
        <v>15</v>
      </c>
      <c r="H65">
        <v>2.7839999999999998</v>
      </c>
      <c r="I65" t="s">
        <v>15</v>
      </c>
      <c r="J65" t="s">
        <v>18</v>
      </c>
      <c r="K65" t="s">
        <v>17</v>
      </c>
      <c r="L65">
        <v>116</v>
      </c>
      <c r="M65">
        <v>116</v>
      </c>
      <c r="N65" t="s">
        <v>15</v>
      </c>
      <c r="O65">
        <v>19429410</v>
      </c>
    </row>
    <row r="66" spans="1:15" x14ac:dyDescent="0.25">
      <c r="A66" t="s">
        <v>20</v>
      </c>
      <c r="B66" t="s">
        <v>13</v>
      </c>
      <c r="C66" t="s">
        <v>14</v>
      </c>
      <c r="D66" t="s">
        <v>15</v>
      </c>
      <c r="F66">
        <v>2.7839999999999998</v>
      </c>
      <c r="G66" t="s">
        <v>15</v>
      </c>
      <c r="H66">
        <v>2.7839999999999998</v>
      </c>
      <c r="I66" t="s">
        <v>15</v>
      </c>
      <c r="J66" t="s">
        <v>18</v>
      </c>
      <c r="K66" t="s">
        <v>17</v>
      </c>
      <c r="L66">
        <v>116</v>
      </c>
      <c r="M66">
        <v>116</v>
      </c>
      <c r="N66" t="s">
        <v>15</v>
      </c>
      <c r="O66">
        <v>19429410</v>
      </c>
    </row>
    <row r="67" spans="1:15" x14ac:dyDescent="0.25">
      <c r="A67" t="s">
        <v>20</v>
      </c>
      <c r="B67" t="s">
        <v>13</v>
      </c>
      <c r="C67" t="s">
        <v>14</v>
      </c>
      <c r="D67" t="s">
        <v>15</v>
      </c>
      <c r="F67">
        <v>2.7839999999999998</v>
      </c>
      <c r="G67" t="s">
        <v>15</v>
      </c>
      <c r="H67">
        <v>2.7839999999999998</v>
      </c>
      <c r="I67" t="s">
        <v>15</v>
      </c>
      <c r="J67" t="s">
        <v>18</v>
      </c>
      <c r="K67" t="s">
        <v>17</v>
      </c>
      <c r="L67">
        <v>116</v>
      </c>
      <c r="M67">
        <v>116</v>
      </c>
      <c r="N67" t="s">
        <v>15</v>
      </c>
      <c r="O67">
        <v>19429410</v>
      </c>
    </row>
    <row r="68" spans="1:15" x14ac:dyDescent="0.25">
      <c r="A68" t="s">
        <v>20</v>
      </c>
      <c r="B68" t="s">
        <v>13</v>
      </c>
      <c r="C68" t="s">
        <v>14</v>
      </c>
      <c r="D68" t="s">
        <v>15</v>
      </c>
      <c r="F68">
        <v>2.7839999999999998</v>
      </c>
      <c r="G68" t="s">
        <v>15</v>
      </c>
      <c r="H68">
        <v>2.7839999999999998</v>
      </c>
      <c r="I68" t="s">
        <v>15</v>
      </c>
      <c r="J68" t="s">
        <v>18</v>
      </c>
      <c r="K68" t="s">
        <v>17</v>
      </c>
      <c r="L68">
        <v>116</v>
      </c>
      <c r="M68">
        <v>116</v>
      </c>
      <c r="N68" t="s">
        <v>15</v>
      </c>
      <c r="O68">
        <v>19429410</v>
      </c>
    </row>
    <row r="69" spans="1:15" x14ac:dyDescent="0.25">
      <c r="A69" t="s">
        <v>20</v>
      </c>
      <c r="B69" t="s">
        <v>13</v>
      </c>
      <c r="C69" t="s">
        <v>14</v>
      </c>
      <c r="D69" t="s">
        <v>15</v>
      </c>
      <c r="F69">
        <v>2.7839999999999998</v>
      </c>
      <c r="G69" t="s">
        <v>15</v>
      </c>
      <c r="H69">
        <v>2.7839999999999998</v>
      </c>
      <c r="I69" t="s">
        <v>15</v>
      </c>
      <c r="J69" t="s">
        <v>18</v>
      </c>
      <c r="K69" t="s">
        <v>17</v>
      </c>
      <c r="L69">
        <v>116</v>
      </c>
      <c r="M69">
        <v>116</v>
      </c>
      <c r="N69" t="s">
        <v>15</v>
      </c>
      <c r="O69">
        <v>19429410</v>
      </c>
    </row>
    <row r="70" spans="1:15" x14ac:dyDescent="0.25">
      <c r="A70" t="s">
        <v>20</v>
      </c>
      <c r="B70" t="s">
        <v>13</v>
      </c>
      <c r="C70" t="s">
        <v>14</v>
      </c>
      <c r="D70" t="s">
        <v>15</v>
      </c>
      <c r="F70">
        <v>2.7839999999999998</v>
      </c>
      <c r="G70" t="s">
        <v>15</v>
      </c>
      <c r="H70">
        <v>2.7839999999999998</v>
      </c>
      <c r="I70" t="s">
        <v>15</v>
      </c>
      <c r="J70" t="s">
        <v>18</v>
      </c>
      <c r="K70" t="s">
        <v>17</v>
      </c>
      <c r="L70">
        <v>116</v>
      </c>
      <c r="M70">
        <v>116</v>
      </c>
      <c r="N70" t="s">
        <v>15</v>
      </c>
      <c r="O70">
        <v>19429410</v>
      </c>
    </row>
    <row r="71" spans="1:15" x14ac:dyDescent="0.25">
      <c r="A71" t="s">
        <v>20</v>
      </c>
      <c r="B71" t="s">
        <v>13</v>
      </c>
      <c r="C71" t="s">
        <v>14</v>
      </c>
      <c r="D71" t="s">
        <v>15</v>
      </c>
      <c r="F71">
        <v>2.7839999999999998</v>
      </c>
      <c r="G71" t="s">
        <v>15</v>
      </c>
      <c r="H71">
        <v>2.7839999999999998</v>
      </c>
      <c r="I71" t="s">
        <v>15</v>
      </c>
      <c r="J71" t="s">
        <v>18</v>
      </c>
      <c r="K71" t="s">
        <v>17</v>
      </c>
      <c r="L71">
        <v>116</v>
      </c>
      <c r="M71">
        <v>116</v>
      </c>
      <c r="N71" t="s">
        <v>15</v>
      </c>
      <c r="O71">
        <v>19429410</v>
      </c>
    </row>
    <row r="72" spans="1:15" x14ac:dyDescent="0.25">
      <c r="A72" t="s">
        <v>20</v>
      </c>
      <c r="B72" t="s">
        <v>13</v>
      </c>
      <c r="C72" t="s">
        <v>14</v>
      </c>
      <c r="D72" t="s">
        <v>15</v>
      </c>
      <c r="F72">
        <v>2.7839999999999998</v>
      </c>
      <c r="G72" t="s">
        <v>15</v>
      </c>
      <c r="H72">
        <v>2.7839999999999998</v>
      </c>
      <c r="I72" t="s">
        <v>15</v>
      </c>
      <c r="J72" t="s">
        <v>18</v>
      </c>
      <c r="K72" t="s">
        <v>17</v>
      </c>
      <c r="L72">
        <v>116</v>
      </c>
      <c r="M72">
        <v>116</v>
      </c>
      <c r="N72" t="s">
        <v>15</v>
      </c>
      <c r="O72">
        <v>19429410</v>
      </c>
    </row>
    <row r="73" spans="1:15" x14ac:dyDescent="0.25">
      <c r="A73" t="s">
        <v>20</v>
      </c>
      <c r="B73" t="s">
        <v>13</v>
      </c>
      <c r="C73" t="s">
        <v>14</v>
      </c>
      <c r="D73" t="s">
        <v>15</v>
      </c>
      <c r="F73">
        <v>2.7839999999999998</v>
      </c>
      <c r="G73" t="s">
        <v>15</v>
      </c>
      <c r="H73">
        <v>2.7839999999999998</v>
      </c>
      <c r="I73" t="s">
        <v>15</v>
      </c>
      <c r="J73" t="s">
        <v>18</v>
      </c>
      <c r="K73" t="s">
        <v>17</v>
      </c>
      <c r="L73">
        <v>116</v>
      </c>
      <c r="M73">
        <v>116</v>
      </c>
      <c r="N73" t="s">
        <v>15</v>
      </c>
      <c r="O73">
        <v>19429410</v>
      </c>
    </row>
    <row r="74" spans="1:15" x14ac:dyDescent="0.25">
      <c r="A74" t="s">
        <v>20</v>
      </c>
      <c r="B74" t="s">
        <v>13</v>
      </c>
      <c r="C74" t="s">
        <v>14</v>
      </c>
      <c r="D74" t="s">
        <v>15</v>
      </c>
      <c r="F74">
        <v>2.7839999999999998</v>
      </c>
      <c r="G74" t="s">
        <v>15</v>
      </c>
      <c r="H74">
        <v>2.7839999999999998</v>
      </c>
      <c r="I74" t="s">
        <v>15</v>
      </c>
      <c r="J74" t="s">
        <v>18</v>
      </c>
      <c r="K74" t="s">
        <v>17</v>
      </c>
      <c r="L74">
        <v>116</v>
      </c>
      <c r="M74">
        <v>116</v>
      </c>
      <c r="N74" t="s">
        <v>15</v>
      </c>
      <c r="O74">
        <v>19429410</v>
      </c>
    </row>
    <row r="75" spans="1:15" x14ac:dyDescent="0.25">
      <c r="A75" t="s">
        <v>20</v>
      </c>
      <c r="B75" t="s">
        <v>13</v>
      </c>
      <c r="C75" t="s">
        <v>14</v>
      </c>
      <c r="D75" t="s">
        <v>15</v>
      </c>
      <c r="F75">
        <v>2.7839999999999998</v>
      </c>
      <c r="G75" t="s">
        <v>15</v>
      </c>
      <c r="H75">
        <v>2.7839999999999998</v>
      </c>
      <c r="I75" t="s">
        <v>15</v>
      </c>
      <c r="J75" t="s">
        <v>18</v>
      </c>
      <c r="K75" t="s">
        <v>17</v>
      </c>
      <c r="L75">
        <v>116</v>
      </c>
      <c r="M75">
        <v>116</v>
      </c>
      <c r="N75" t="s">
        <v>15</v>
      </c>
      <c r="O75">
        <v>19429410</v>
      </c>
    </row>
    <row r="76" spans="1:15" x14ac:dyDescent="0.25">
      <c r="A76" t="s">
        <v>20</v>
      </c>
      <c r="B76" t="s">
        <v>13</v>
      </c>
      <c r="C76" t="s">
        <v>14</v>
      </c>
      <c r="D76" t="s">
        <v>15</v>
      </c>
      <c r="F76">
        <v>2.7839999999999998</v>
      </c>
      <c r="G76" t="s">
        <v>15</v>
      </c>
      <c r="H76">
        <v>2.7839999999999998</v>
      </c>
      <c r="I76" t="s">
        <v>15</v>
      </c>
      <c r="J76" t="s">
        <v>18</v>
      </c>
      <c r="K76" t="s">
        <v>17</v>
      </c>
      <c r="L76">
        <v>116</v>
      </c>
      <c r="M76">
        <v>116</v>
      </c>
      <c r="N76" t="s">
        <v>15</v>
      </c>
      <c r="O76">
        <v>19429410</v>
      </c>
    </row>
    <row r="77" spans="1:15" x14ac:dyDescent="0.25">
      <c r="A77" t="s">
        <v>20</v>
      </c>
      <c r="B77" t="s">
        <v>13</v>
      </c>
      <c r="C77" t="s">
        <v>14</v>
      </c>
      <c r="D77" t="s">
        <v>15</v>
      </c>
      <c r="F77">
        <v>2.7839999999999998</v>
      </c>
      <c r="G77" t="s">
        <v>15</v>
      </c>
      <c r="H77">
        <v>2.7839999999999998</v>
      </c>
      <c r="I77" t="s">
        <v>15</v>
      </c>
      <c r="J77" t="s">
        <v>18</v>
      </c>
      <c r="K77" t="s">
        <v>17</v>
      </c>
      <c r="L77">
        <v>116</v>
      </c>
      <c r="M77">
        <v>116</v>
      </c>
      <c r="N77" t="s">
        <v>15</v>
      </c>
      <c r="O77">
        <v>19429410</v>
      </c>
    </row>
    <row r="78" spans="1:15" x14ac:dyDescent="0.25">
      <c r="A78" t="s">
        <v>20</v>
      </c>
      <c r="B78" t="s">
        <v>13</v>
      </c>
      <c r="C78" t="s">
        <v>14</v>
      </c>
      <c r="D78" t="s">
        <v>15</v>
      </c>
      <c r="F78">
        <v>2.7839999999999998</v>
      </c>
      <c r="G78" t="s">
        <v>15</v>
      </c>
      <c r="H78">
        <v>2.7839999999999998</v>
      </c>
      <c r="I78" t="s">
        <v>15</v>
      </c>
      <c r="J78" t="s">
        <v>18</v>
      </c>
      <c r="K78" t="s">
        <v>17</v>
      </c>
      <c r="L78">
        <v>116</v>
      </c>
      <c r="M78">
        <v>116</v>
      </c>
      <c r="N78" t="s">
        <v>15</v>
      </c>
      <c r="O78">
        <v>19429410</v>
      </c>
    </row>
    <row r="79" spans="1:15" x14ac:dyDescent="0.25">
      <c r="A79" t="s">
        <v>20</v>
      </c>
      <c r="B79" t="s">
        <v>13</v>
      </c>
      <c r="C79" t="s">
        <v>14</v>
      </c>
      <c r="D79" t="s">
        <v>15</v>
      </c>
      <c r="F79">
        <v>2.7839999999999998</v>
      </c>
      <c r="G79" t="s">
        <v>15</v>
      </c>
      <c r="H79">
        <v>2.7839999999999998</v>
      </c>
      <c r="I79" t="s">
        <v>15</v>
      </c>
      <c r="J79" t="s">
        <v>18</v>
      </c>
      <c r="K79" t="s">
        <v>17</v>
      </c>
      <c r="L79">
        <v>116</v>
      </c>
      <c r="M79">
        <v>116</v>
      </c>
      <c r="N79" t="s">
        <v>15</v>
      </c>
      <c r="O79">
        <v>19429410</v>
      </c>
    </row>
    <row r="80" spans="1:15" x14ac:dyDescent="0.25">
      <c r="A80" t="s">
        <v>20</v>
      </c>
      <c r="B80" t="s">
        <v>13</v>
      </c>
      <c r="C80" t="s">
        <v>14</v>
      </c>
      <c r="D80" t="s">
        <v>15</v>
      </c>
      <c r="F80">
        <v>2.7839999999999998</v>
      </c>
      <c r="G80" t="s">
        <v>15</v>
      </c>
      <c r="H80">
        <v>2.7839999999999998</v>
      </c>
      <c r="I80" t="s">
        <v>15</v>
      </c>
      <c r="J80" t="s">
        <v>18</v>
      </c>
      <c r="K80" t="s">
        <v>17</v>
      </c>
      <c r="L80">
        <v>116</v>
      </c>
      <c r="M80">
        <v>116</v>
      </c>
      <c r="N80" t="s">
        <v>15</v>
      </c>
      <c r="O80">
        <v>19429410</v>
      </c>
    </row>
    <row r="81" spans="1:15" x14ac:dyDescent="0.25">
      <c r="A81" t="s">
        <v>20</v>
      </c>
      <c r="B81" t="s">
        <v>13</v>
      </c>
      <c r="C81" t="s">
        <v>14</v>
      </c>
      <c r="D81" t="s">
        <v>15</v>
      </c>
      <c r="F81">
        <v>2.7839999999999998</v>
      </c>
      <c r="G81" t="s">
        <v>15</v>
      </c>
      <c r="H81">
        <v>2.7839999999999998</v>
      </c>
      <c r="I81" t="s">
        <v>15</v>
      </c>
      <c r="J81" t="s">
        <v>18</v>
      </c>
      <c r="K81" t="s">
        <v>17</v>
      </c>
      <c r="L81">
        <v>116</v>
      </c>
      <c r="M81">
        <v>116</v>
      </c>
      <c r="N81" t="s">
        <v>15</v>
      </c>
      <c r="O81">
        <v>19429410</v>
      </c>
    </row>
    <row r="82" spans="1:15" x14ac:dyDescent="0.25">
      <c r="A82" t="s">
        <v>20</v>
      </c>
      <c r="B82" t="s">
        <v>13</v>
      </c>
      <c r="C82" t="s">
        <v>14</v>
      </c>
      <c r="D82" t="s">
        <v>15</v>
      </c>
      <c r="F82">
        <v>2.7839999999999998</v>
      </c>
      <c r="G82" t="s">
        <v>15</v>
      </c>
      <c r="H82">
        <v>2.7839999999999998</v>
      </c>
      <c r="I82" t="s">
        <v>15</v>
      </c>
      <c r="J82" t="s">
        <v>18</v>
      </c>
      <c r="K82" t="s">
        <v>17</v>
      </c>
      <c r="L82">
        <v>116</v>
      </c>
      <c r="M82">
        <v>116</v>
      </c>
      <c r="N82" t="s">
        <v>15</v>
      </c>
      <c r="O82">
        <v>19429410</v>
      </c>
    </row>
    <row r="83" spans="1:15" x14ac:dyDescent="0.25">
      <c r="A83" t="s">
        <v>12</v>
      </c>
      <c r="B83" t="s">
        <v>13</v>
      </c>
      <c r="C83" t="s">
        <v>14</v>
      </c>
      <c r="D83" t="s">
        <v>15</v>
      </c>
      <c r="F83">
        <v>5.0591999999999998E-2</v>
      </c>
      <c r="G83">
        <f>17/1000</f>
        <v>1.7000000000000001E-2</v>
      </c>
      <c r="H83" t="s">
        <v>15</v>
      </c>
      <c r="J83" t="s">
        <v>16</v>
      </c>
      <c r="K83" t="s">
        <v>17</v>
      </c>
      <c r="L83">
        <v>2.1080000000000001</v>
      </c>
      <c r="M83" t="s">
        <v>15</v>
      </c>
      <c r="N83" t="s">
        <v>15</v>
      </c>
      <c r="O83">
        <v>12499116</v>
      </c>
    </row>
    <row r="84" spans="1:15" x14ac:dyDescent="0.25">
      <c r="A84" t="s">
        <v>12</v>
      </c>
      <c r="B84" t="s">
        <v>13</v>
      </c>
      <c r="C84" t="s">
        <v>14</v>
      </c>
      <c r="D84" t="s">
        <v>15</v>
      </c>
      <c r="F84">
        <v>5.0591999999999998E-2</v>
      </c>
      <c r="G84">
        <f>17/1000</f>
        <v>1.7000000000000001E-2</v>
      </c>
      <c r="H84" t="s">
        <v>15</v>
      </c>
      <c r="J84" t="s">
        <v>16</v>
      </c>
      <c r="K84" t="s">
        <v>17</v>
      </c>
      <c r="L84">
        <v>2.1080000000000001</v>
      </c>
      <c r="M84" t="s">
        <v>15</v>
      </c>
      <c r="N84" t="s">
        <v>15</v>
      </c>
      <c r="O84">
        <v>12499116</v>
      </c>
    </row>
    <row r="85" spans="1:15" x14ac:dyDescent="0.25">
      <c r="A85" t="s">
        <v>12</v>
      </c>
      <c r="B85" t="s">
        <v>13</v>
      </c>
      <c r="C85" t="s">
        <v>14</v>
      </c>
      <c r="D85" t="s">
        <v>15</v>
      </c>
      <c r="F85">
        <v>5.0591999999999998E-2</v>
      </c>
      <c r="G85">
        <f>17/1000</f>
        <v>1.7000000000000001E-2</v>
      </c>
      <c r="H85" t="s">
        <v>15</v>
      </c>
      <c r="J85" t="s">
        <v>16</v>
      </c>
      <c r="K85" t="s">
        <v>17</v>
      </c>
      <c r="L85">
        <v>2.1080000000000001</v>
      </c>
      <c r="M85" t="s">
        <v>15</v>
      </c>
      <c r="N85" t="s">
        <v>15</v>
      </c>
      <c r="O85">
        <v>12499116</v>
      </c>
    </row>
    <row r="86" spans="1:15" x14ac:dyDescent="0.25">
      <c r="A86" t="s">
        <v>12</v>
      </c>
      <c r="B86" t="s">
        <v>13</v>
      </c>
      <c r="C86" t="s">
        <v>14</v>
      </c>
      <c r="D86" t="s">
        <v>15</v>
      </c>
      <c r="F86">
        <v>5.0591999999999998E-2</v>
      </c>
      <c r="G86">
        <f>17/1000</f>
        <v>1.7000000000000001E-2</v>
      </c>
      <c r="H86" t="s">
        <v>15</v>
      </c>
      <c r="J86" t="s">
        <v>16</v>
      </c>
      <c r="K86" t="s">
        <v>17</v>
      </c>
      <c r="L86">
        <v>2.1080000000000001</v>
      </c>
      <c r="M86" t="s">
        <v>15</v>
      </c>
      <c r="N86" t="s">
        <v>15</v>
      </c>
      <c r="O86">
        <v>12499116</v>
      </c>
    </row>
    <row r="87" spans="1:15" x14ac:dyDescent="0.25">
      <c r="A87" t="s">
        <v>12</v>
      </c>
      <c r="B87" t="s">
        <v>13</v>
      </c>
      <c r="C87" t="s">
        <v>14</v>
      </c>
      <c r="D87" t="s">
        <v>15</v>
      </c>
      <c r="F87">
        <v>5.0591999999999998E-2</v>
      </c>
      <c r="G87">
        <f>17/1000</f>
        <v>1.7000000000000001E-2</v>
      </c>
      <c r="H87" t="s">
        <v>15</v>
      </c>
      <c r="J87" t="s">
        <v>16</v>
      </c>
      <c r="K87" t="s">
        <v>17</v>
      </c>
      <c r="L87">
        <v>2.1080000000000001</v>
      </c>
      <c r="M87" t="s">
        <v>15</v>
      </c>
      <c r="N87" t="s">
        <v>15</v>
      </c>
      <c r="O87">
        <v>12499116</v>
      </c>
    </row>
    <row r="88" spans="1:15" x14ac:dyDescent="0.25">
      <c r="A88" t="s">
        <v>12</v>
      </c>
      <c r="B88" t="s">
        <v>13</v>
      </c>
      <c r="C88" t="s">
        <v>14</v>
      </c>
      <c r="D88" t="s">
        <v>15</v>
      </c>
      <c r="F88">
        <v>5.0591999999999998E-2</v>
      </c>
      <c r="G88">
        <f>17/1000</f>
        <v>1.7000000000000001E-2</v>
      </c>
      <c r="H88" t="s">
        <v>15</v>
      </c>
      <c r="J88" t="s">
        <v>16</v>
      </c>
      <c r="K88" t="s">
        <v>17</v>
      </c>
      <c r="L88">
        <v>2.1080000000000001</v>
      </c>
      <c r="M88" t="s">
        <v>15</v>
      </c>
      <c r="N88" t="s">
        <v>15</v>
      </c>
      <c r="O88">
        <v>12499116</v>
      </c>
    </row>
    <row r="89" spans="1:15" x14ac:dyDescent="0.25">
      <c r="A89" t="s">
        <v>12</v>
      </c>
      <c r="B89" t="s">
        <v>13</v>
      </c>
      <c r="C89" t="s">
        <v>14</v>
      </c>
      <c r="D89" t="s">
        <v>15</v>
      </c>
      <c r="F89">
        <v>5.0591999999999998E-2</v>
      </c>
      <c r="G89">
        <f>17/1000</f>
        <v>1.7000000000000001E-2</v>
      </c>
      <c r="H89" t="s">
        <v>15</v>
      </c>
      <c r="J89" t="s">
        <v>16</v>
      </c>
      <c r="K89" t="s">
        <v>17</v>
      </c>
      <c r="L89">
        <v>2.1080000000000001</v>
      </c>
      <c r="M89" t="s">
        <v>15</v>
      </c>
      <c r="N89" t="s">
        <v>15</v>
      </c>
      <c r="O89">
        <v>12499116</v>
      </c>
    </row>
    <row r="90" spans="1:15" x14ac:dyDescent="0.25">
      <c r="A90" t="s">
        <v>12</v>
      </c>
      <c r="B90" t="s">
        <v>13</v>
      </c>
      <c r="C90" t="s">
        <v>14</v>
      </c>
      <c r="D90" t="s">
        <v>15</v>
      </c>
      <c r="F90">
        <v>5.0591999999999998E-2</v>
      </c>
      <c r="G90">
        <f>17/1000</f>
        <v>1.7000000000000001E-2</v>
      </c>
      <c r="H90" t="s">
        <v>15</v>
      </c>
      <c r="J90" t="s">
        <v>16</v>
      </c>
      <c r="K90" t="s">
        <v>17</v>
      </c>
      <c r="L90">
        <v>2.1080000000000001</v>
      </c>
      <c r="M90" t="s">
        <v>15</v>
      </c>
      <c r="N90" t="s">
        <v>15</v>
      </c>
      <c r="O90">
        <v>12499116</v>
      </c>
    </row>
    <row r="91" spans="1:15" x14ac:dyDescent="0.25">
      <c r="A91" t="s">
        <v>22</v>
      </c>
      <c r="B91" t="s">
        <v>13</v>
      </c>
      <c r="C91" t="s">
        <v>14</v>
      </c>
      <c r="D91" t="s">
        <v>15</v>
      </c>
      <c r="F91">
        <v>1.60392</v>
      </c>
      <c r="G91">
        <f>557.6/1000</f>
        <v>0.55759999999999998</v>
      </c>
      <c r="H91" t="s">
        <v>15</v>
      </c>
      <c r="J91" t="s">
        <v>16</v>
      </c>
      <c r="K91" t="s">
        <v>17</v>
      </c>
      <c r="L91">
        <v>66.83</v>
      </c>
      <c r="M91" t="s">
        <v>15</v>
      </c>
      <c r="N91" t="s">
        <v>15</v>
      </c>
      <c r="O91">
        <v>12499116</v>
      </c>
    </row>
    <row r="92" spans="1:15" x14ac:dyDescent="0.25">
      <c r="A92" t="s">
        <v>22</v>
      </c>
      <c r="B92" t="s">
        <v>13</v>
      </c>
      <c r="C92" t="s">
        <v>14</v>
      </c>
      <c r="D92" t="s">
        <v>15</v>
      </c>
      <c r="F92">
        <v>1.60392</v>
      </c>
      <c r="G92">
        <f>557.6/1000</f>
        <v>0.55759999999999998</v>
      </c>
      <c r="H92" t="s">
        <v>15</v>
      </c>
      <c r="J92" t="s">
        <v>16</v>
      </c>
      <c r="K92" t="s">
        <v>17</v>
      </c>
      <c r="L92">
        <v>66.83</v>
      </c>
      <c r="M92" t="s">
        <v>15</v>
      </c>
      <c r="N92" t="s">
        <v>15</v>
      </c>
      <c r="O92">
        <v>12499116</v>
      </c>
    </row>
    <row r="93" spans="1:15" x14ac:dyDescent="0.25">
      <c r="A93" t="s">
        <v>22</v>
      </c>
      <c r="B93" t="s">
        <v>13</v>
      </c>
      <c r="C93" t="s">
        <v>14</v>
      </c>
      <c r="D93" t="s">
        <v>15</v>
      </c>
      <c r="F93">
        <v>1.60392</v>
      </c>
      <c r="G93">
        <f>557.6/1000</f>
        <v>0.55759999999999998</v>
      </c>
      <c r="H93" t="s">
        <v>15</v>
      </c>
      <c r="J93" t="s">
        <v>16</v>
      </c>
      <c r="K93" t="s">
        <v>17</v>
      </c>
      <c r="L93">
        <v>66.83</v>
      </c>
      <c r="M93" t="s">
        <v>15</v>
      </c>
      <c r="N93" t="s">
        <v>15</v>
      </c>
      <c r="O93">
        <v>12499116</v>
      </c>
    </row>
    <row r="94" spans="1:15" x14ac:dyDescent="0.25">
      <c r="A94" t="s">
        <v>22</v>
      </c>
      <c r="B94" t="s">
        <v>13</v>
      </c>
      <c r="C94" t="s">
        <v>14</v>
      </c>
      <c r="D94" t="s">
        <v>15</v>
      </c>
      <c r="F94">
        <v>1.60392</v>
      </c>
      <c r="G94">
        <f>557.6/1000</f>
        <v>0.55759999999999998</v>
      </c>
      <c r="H94" t="s">
        <v>15</v>
      </c>
      <c r="J94" t="s">
        <v>16</v>
      </c>
      <c r="K94" t="s">
        <v>17</v>
      </c>
      <c r="L94">
        <v>66.83</v>
      </c>
      <c r="M94" t="s">
        <v>15</v>
      </c>
      <c r="N94" t="s">
        <v>15</v>
      </c>
      <c r="O94">
        <v>12499116</v>
      </c>
    </row>
    <row r="95" spans="1:15" x14ac:dyDescent="0.25">
      <c r="A95" t="s">
        <v>12</v>
      </c>
      <c r="B95" t="s">
        <v>13</v>
      </c>
      <c r="C95" t="s">
        <v>19</v>
      </c>
      <c r="D95" t="s">
        <v>15</v>
      </c>
      <c r="F95">
        <v>2.2332000000000001</v>
      </c>
      <c r="G95">
        <f>805/1000</f>
        <v>0.80500000000000005</v>
      </c>
      <c r="H95" t="s">
        <v>15</v>
      </c>
      <c r="J95" t="s">
        <v>16</v>
      </c>
      <c r="K95" t="s">
        <v>17</v>
      </c>
      <c r="L95">
        <v>93.05</v>
      </c>
      <c r="M95" t="s">
        <v>15</v>
      </c>
      <c r="N95" t="s">
        <v>15</v>
      </c>
      <c r="O95">
        <v>12499116</v>
      </c>
    </row>
    <row r="96" spans="1:15" x14ac:dyDescent="0.25">
      <c r="A96" t="s">
        <v>12</v>
      </c>
      <c r="B96" t="s">
        <v>13</v>
      </c>
      <c r="C96" t="s">
        <v>19</v>
      </c>
      <c r="D96" t="s">
        <v>15</v>
      </c>
      <c r="F96">
        <v>2.2332000000000001</v>
      </c>
      <c r="G96">
        <f>805/1000</f>
        <v>0.80500000000000005</v>
      </c>
      <c r="H96" t="s">
        <v>15</v>
      </c>
      <c r="J96" t="s">
        <v>16</v>
      </c>
      <c r="K96" t="s">
        <v>17</v>
      </c>
      <c r="L96">
        <v>93.05</v>
      </c>
      <c r="M96" t="s">
        <v>15</v>
      </c>
      <c r="N96" t="s">
        <v>15</v>
      </c>
      <c r="O96">
        <v>12499116</v>
      </c>
    </row>
    <row r="97" spans="1:15" x14ac:dyDescent="0.25">
      <c r="A97" t="s">
        <v>22</v>
      </c>
      <c r="B97" t="s">
        <v>13</v>
      </c>
      <c r="C97" t="s">
        <v>19</v>
      </c>
      <c r="D97" t="s">
        <v>15</v>
      </c>
      <c r="F97">
        <v>3.0695999999999999</v>
      </c>
      <c r="G97">
        <f>781.3/1000</f>
        <v>0.78129999999999999</v>
      </c>
      <c r="H97" t="s">
        <v>15</v>
      </c>
      <c r="J97" t="s">
        <v>16</v>
      </c>
      <c r="K97" t="s">
        <v>17</v>
      </c>
      <c r="L97">
        <v>127.9</v>
      </c>
      <c r="M97" t="s">
        <v>15</v>
      </c>
      <c r="N97" t="s">
        <v>15</v>
      </c>
      <c r="O97">
        <v>12499116</v>
      </c>
    </row>
    <row r="98" spans="1:15" x14ac:dyDescent="0.25">
      <c r="A98" t="s">
        <v>22</v>
      </c>
      <c r="B98" t="s">
        <v>13</v>
      </c>
      <c r="C98" t="s">
        <v>19</v>
      </c>
      <c r="D98" t="s">
        <v>15</v>
      </c>
      <c r="F98">
        <v>3.0695999999999999</v>
      </c>
      <c r="G98">
        <f>781.3/1000</f>
        <v>0.78129999999999999</v>
      </c>
      <c r="H98" t="s">
        <v>15</v>
      </c>
      <c r="J98" t="s">
        <v>16</v>
      </c>
      <c r="K98" t="s">
        <v>17</v>
      </c>
      <c r="L98">
        <v>127.9</v>
      </c>
      <c r="M98" t="s">
        <v>15</v>
      </c>
      <c r="N98" t="s">
        <v>15</v>
      </c>
      <c r="O98">
        <v>12499116</v>
      </c>
    </row>
    <row r="99" spans="1:15" x14ac:dyDescent="0.25">
      <c r="A99" t="s">
        <v>22</v>
      </c>
      <c r="B99" t="s">
        <v>13</v>
      </c>
      <c r="C99" t="s">
        <v>19</v>
      </c>
      <c r="D99" t="s">
        <v>15</v>
      </c>
      <c r="F99">
        <v>3.0695999999999999</v>
      </c>
      <c r="G99">
        <f>781.3/1000</f>
        <v>0.78129999999999999</v>
      </c>
      <c r="H99" t="s">
        <v>15</v>
      </c>
      <c r="J99" t="s">
        <v>16</v>
      </c>
      <c r="K99" t="s">
        <v>17</v>
      </c>
      <c r="L99">
        <v>127.9</v>
      </c>
      <c r="M99" t="s">
        <v>15</v>
      </c>
      <c r="N99" t="s">
        <v>15</v>
      </c>
      <c r="O99">
        <v>12499116</v>
      </c>
    </row>
    <row r="100" spans="1:15" x14ac:dyDescent="0.25">
      <c r="A100" t="s">
        <v>22</v>
      </c>
      <c r="B100" t="s">
        <v>13</v>
      </c>
      <c r="C100" t="s">
        <v>19</v>
      </c>
      <c r="D100" t="s">
        <v>15</v>
      </c>
      <c r="F100">
        <v>3.0695999999999999</v>
      </c>
      <c r="G100">
        <f>781.3/1000</f>
        <v>0.78129999999999999</v>
      </c>
      <c r="H100" t="s">
        <v>15</v>
      </c>
      <c r="J100" t="s">
        <v>16</v>
      </c>
      <c r="K100" t="s">
        <v>17</v>
      </c>
      <c r="L100">
        <v>127.9</v>
      </c>
      <c r="M100" t="s">
        <v>15</v>
      </c>
      <c r="N100" t="s">
        <v>15</v>
      </c>
      <c r="O100">
        <v>12499116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Coffin, Scott@OEHHA</dc:creator>
  <cp:lastModifiedBy>Scott Coffin</cp:lastModifiedBy>
  <dcterms:created xsi:type="dcterms:W3CDTF">2015-06-05T18:17:20Z</dcterms:created>
  <dcterms:modified xsi:type="dcterms:W3CDTF">2024-07-18T23:41:01Z</dcterms:modified>
</cp:coreProperties>
</file>