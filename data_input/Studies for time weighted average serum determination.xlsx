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ehhacloud-my.sharepoint.com/personal/scott_coffin_oehha_ca_gov/Documents/R_new/Rat_TTR_PFAS_QSAR_Docking/data_input/"/>
    </mc:Choice>
  </mc:AlternateContent>
  <xr:revisionPtr revIDLastSave="14" documentId="13_ncr:1_{6E5A3DFD-22C0-44B7-B2C3-F819A306DC7F}" xr6:coauthVersionLast="47" xr6:coauthVersionMax="47" xr10:uidLastSave="{6ABE660E-314A-4B0F-B837-41B2BC63F095}"/>
  <bookViews>
    <workbookView xWindow="-109" yWindow="-109" windowWidth="26301" windowHeight="1416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" i="1" l="1"/>
  <c r="AM32" i="1"/>
  <c r="Q32" i="1" s="1"/>
  <c r="P4" i="1"/>
  <c r="P5" i="1"/>
  <c r="P28" i="1"/>
  <c r="P29" i="1"/>
  <c r="AM4" i="1"/>
  <c r="Q4" i="1" s="1"/>
  <c r="AM5" i="1"/>
  <c r="Q5" i="1" s="1"/>
  <c r="AM28" i="1"/>
  <c r="Q28" i="1" s="1"/>
  <c r="AM29" i="1"/>
  <c r="Q29" i="1" s="1"/>
  <c r="P6" i="1"/>
  <c r="P8" i="1"/>
  <c r="P21" i="1"/>
  <c r="P20" i="1"/>
  <c r="P16" i="1"/>
  <c r="P17" i="1"/>
  <c r="P26" i="1"/>
  <c r="P27" i="1"/>
  <c r="P13" i="1"/>
  <c r="P31" i="1"/>
  <c r="P30" i="1"/>
  <c r="P10" i="1"/>
  <c r="P11" i="1"/>
  <c r="P22" i="1"/>
  <c r="P23" i="1"/>
  <c r="P24" i="1"/>
  <c r="P25" i="1"/>
  <c r="P18" i="1"/>
  <c r="P19" i="1"/>
  <c r="P15" i="1"/>
  <c r="P14" i="1"/>
  <c r="P12" i="1"/>
  <c r="P9" i="1"/>
  <c r="P2" i="1"/>
  <c r="P3" i="1"/>
  <c r="P7" i="1"/>
  <c r="AM3" i="1"/>
  <c r="Q3" i="1" s="1"/>
  <c r="AM2" i="1"/>
  <c r="Q2" i="1" s="1"/>
  <c r="AM9" i="1"/>
  <c r="Q9" i="1" s="1"/>
  <c r="AM12" i="1"/>
  <c r="Q12" i="1" s="1"/>
  <c r="AM14" i="1"/>
  <c r="Q14" i="1" s="1"/>
  <c r="AM15" i="1"/>
  <c r="Q15" i="1" s="1"/>
  <c r="AM19" i="1"/>
  <c r="Q19" i="1" s="1"/>
  <c r="AM18" i="1"/>
  <c r="Q18" i="1" s="1"/>
  <c r="AM25" i="1"/>
  <c r="Q25" i="1" s="1"/>
  <c r="AM24" i="1"/>
  <c r="Q24" i="1" s="1"/>
  <c r="AM23" i="1"/>
  <c r="Q23" i="1" s="1"/>
  <c r="AM22" i="1"/>
  <c r="Q22" i="1" s="1"/>
  <c r="AM30" i="1"/>
  <c r="Q30" i="1" s="1"/>
  <c r="AM31" i="1"/>
  <c r="Q31" i="1" s="1"/>
  <c r="AM27" i="1"/>
  <c r="Q27" i="1" s="1"/>
  <c r="AM26" i="1"/>
  <c r="Q26" i="1" s="1"/>
  <c r="AM20" i="1"/>
  <c r="Q20" i="1" s="1"/>
  <c r="AM21" i="1"/>
  <c r="Q21" i="1" s="1"/>
  <c r="AM8" i="1"/>
  <c r="Q8" i="1" s="1"/>
  <c r="AM6" i="1"/>
  <c r="Q6" i="1" s="1"/>
  <c r="AM7" i="1"/>
  <c r="Q7" i="1" s="1"/>
  <c r="AL11" i="1"/>
  <c r="AM11" i="1" s="1"/>
  <c r="Q11" i="1" s="1"/>
  <c r="AL10" i="1"/>
  <c r="AM10" i="1" s="1"/>
  <c r="Q10" i="1" s="1"/>
  <c r="AL13" i="1"/>
  <c r="AM13" i="1" s="1"/>
  <c r="Q13" i="1" s="1"/>
  <c r="AL17" i="1"/>
  <c r="AM17" i="1" s="1"/>
  <c r="Q17" i="1" s="1"/>
  <c r="AL16" i="1"/>
  <c r="AM16" i="1" s="1"/>
  <c r="Q16" i="1" s="1"/>
  <c r="AF32" i="1" l="1"/>
  <c r="AF28" i="1"/>
  <c r="AF29" i="1"/>
  <c r="AF31" i="1"/>
  <c r="AF26" i="1"/>
  <c r="AF27" i="1"/>
  <c r="AF25" i="1"/>
  <c r="AF30" i="1"/>
  <c r="AF22" i="1"/>
  <c r="AF23" i="1"/>
  <c r="AF24" i="1"/>
  <c r="AF9" i="1"/>
  <c r="AF7" i="1"/>
  <c r="AF6" i="1"/>
</calcChain>
</file>

<file path=xl/sharedStrings.xml><?xml version="1.0" encoding="utf-8"?>
<sst xmlns="http://schemas.openxmlformats.org/spreadsheetml/2006/main" count="834" uniqueCount="155">
  <si>
    <t>Compound administered</t>
  </si>
  <si>
    <t>Compound MW</t>
  </si>
  <si>
    <t>Study</t>
  </si>
  <si>
    <t>Doses</t>
  </si>
  <si>
    <t>Serum/plasma levels (ug/mL)</t>
  </si>
  <si>
    <t>Study type</t>
  </si>
  <si>
    <t>Exposure duration</t>
  </si>
  <si>
    <t>PFBA</t>
  </si>
  <si>
    <t>NH4+PFBA</t>
  </si>
  <si>
    <t>Butenhoff et al 2012a (published), van Otterdijk 2007a (3M study - cannot find online; in CDs?) male Sprague Dawley rats (Crl:CD,
outbred, SPF quality)</t>
  </si>
  <si>
    <t>Rat</t>
  </si>
  <si>
    <t>Sprague-Dawley rats (Crl:CD,
outbred, SPF quality</t>
  </si>
  <si>
    <t>M</t>
  </si>
  <si>
    <t>5.3, 25.4, 130.2 mg/kg-day</t>
  </si>
  <si>
    <t xml:space="preserve"> 0.04, 24.65, 38.04, 82.20 (blood collected day after last dose, half life in male rat 6-9 h, 2 h in female rat)</t>
  </si>
  <si>
    <t>Gavage in water</t>
  </si>
  <si>
    <t>Subacute</t>
  </si>
  <si>
    <t>28 days</t>
  </si>
  <si>
    <t>Butenhoff et al 2012a (published), van Otterdijk 2007a (3M study - cannot find online; in CDs?) female Sprague Dawley rats (Crl:CD,
outbred, SPF quality)</t>
  </si>
  <si>
    <t>F</t>
  </si>
  <si>
    <t>0.01, 0.34, 1.72, 10.30 (blood collected day after last dose, half life in male rat 6-9 h, 2 h in female rat)</t>
  </si>
  <si>
    <t>PFHxA</t>
  </si>
  <si>
    <t>Chengelis et al 2009b male Crl:CD(SD) rat</t>
  </si>
  <si>
    <t>Crl:CD(SD)</t>
  </si>
  <si>
    <t>10, 50, 200 mg/kg-day</t>
  </si>
  <si>
    <t>Subchronic</t>
  </si>
  <si>
    <t>90 days</t>
  </si>
  <si>
    <t>NAPFHx</t>
  </si>
  <si>
    <t>Loveless et al 2009 Male Crl:CD(SD) rat</t>
  </si>
  <si>
    <t>20, 100, 500 mg/kg-day</t>
  </si>
  <si>
    <t>92-93 days</t>
  </si>
  <si>
    <t>Loveless et al 2009 Female Crl:CD(SD) rat</t>
  </si>
  <si>
    <t>Klaunig et al 2015 Female Sprague Dawley rat</t>
  </si>
  <si>
    <t>Sprague-Dawley</t>
  </si>
  <si>
    <t>5, 30, 200 mg/kg-day</t>
  </si>
  <si>
    <t>Chronic</t>
  </si>
  <si>
    <t>104 weeks</t>
  </si>
  <si>
    <t>Klaunig et al 2015 Male Sprague Dawley rat</t>
  </si>
  <si>
    <t>2.5, 15, 100 mg/kg-day</t>
  </si>
  <si>
    <t>Sprague Dawley (Hsd:Sprague Dawley SD)</t>
  </si>
  <si>
    <t>BD (0.025), 0.378, 0.503, 1.297, 3.339, 10.899 (measured 24 hr after last dose)</t>
  </si>
  <si>
    <t>Gavage in deionized water with 2% Tween 80</t>
  </si>
  <si>
    <t>BD (0.025),0.129, 0.292, 0.475, 1.668, 6.712 (measured 24 hr after last dose)</t>
  </si>
  <si>
    <t>Jiang et al 2021</t>
  </si>
  <si>
    <t>Mouse</t>
  </si>
  <si>
    <t>ICR</t>
  </si>
  <si>
    <t>0, 50, 200 mg/kg-day</t>
  </si>
  <si>
    <t>2 months</t>
  </si>
  <si>
    <t>Weatherly et al 2023</t>
  </si>
  <si>
    <t>B6C3F1</t>
  </si>
  <si>
    <t>0, 31.25, 62.5, 125 mg/kg-day</t>
  </si>
  <si>
    <r>
      <t>0</t>
    </r>
    <r>
      <rPr>
        <sz val="11"/>
        <color theme="1"/>
        <rFont val="Calibri"/>
        <family val="2"/>
      </rPr>
      <t>±0.2, 1.3±0.9, 3.1±0.9, 4.5±2.7</t>
    </r>
    <r>
      <rPr>
        <sz val="11"/>
        <color theme="1"/>
        <rFont val="Calibri"/>
        <family val="2"/>
        <scheme val="minor"/>
      </rPr>
      <t xml:space="preserve"> (animals euthanized 24 hr after last exposure so presume this is when blood was collected)</t>
    </r>
  </si>
  <si>
    <t>Dermal in acetone</t>
  </si>
  <si>
    <t>PFHpA</t>
  </si>
  <si>
    <t>0.8±0.5, 63.5±36.3, 93.2±36.3, 139.2±60.4 (animals euthanized 24 hr after last exposure so presume this is when blood was collected)</t>
  </si>
  <si>
    <t>Han et al 2020</t>
  </si>
  <si>
    <t>SD/Crl:CD</t>
  </si>
  <si>
    <t>0, 250, 1000 mg/kg-day</t>
  </si>
  <si>
    <t>ND</t>
  </si>
  <si>
    <t>Dermal in saline</t>
  </si>
  <si>
    <t>2 weeks</t>
  </si>
  <si>
    <t>PFBS</t>
  </si>
  <si>
    <t>NTP 2019 28 day study</t>
  </si>
  <si>
    <r>
      <t xml:space="preserve">0, 62.6, 125, 250, 500, 1,000 mg/kg-day, </t>
    </r>
    <r>
      <rPr>
        <b/>
        <sz val="11"/>
        <color theme="1"/>
        <rFont val="Calibri"/>
        <family val="2"/>
        <scheme val="minor"/>
      </rPr>
      <t>half of the dose was adminstered twice daily (n=10/dose)</t>
    </r>
  </si>
  <si>
    <t>Plasma: 0.090, 2.222, 5.366, 12.430, 43.160 (0.3, 7.4, 17.9, 41.4, 143.8 uM) 24 h after last dose [no survivors at 1000 mg/kg-day]</t>
  </si>
  <si>
    <t>Plasma: BD (LOQ 0.025 ug/mL)), 0.154, 0.309, 0.931, 8.171, 25.455 (BD, 0.5, 1.0, 3.1, 27.2, 84.8 uM [last value based on 2 animals]) 24 h after last dose</t>
  </si>
  <si>
    <t>PFHxSK</t>
  </si>
  <si>
    <t>0, 0.625, 1.25, 2.5, 5, 10 mg/kg-day</t>
  </si>
  <si>
    <t>0.102, 66.760, 92.080, 129.000, 161.700, 198.300 (0.3, 166.9, 230.1, 322.4, 404.1, 495.6 uM) (24 hr after last dose)</t>
  </si>
  <si>
    <t>0, 3.12, 6.25, 12.5, 25, 50 mg/kg-day</t>
  </si>
  <si>
    <t>0.175, 37.030, 50.410, 63.820, 83.820, 95.510 (0.4, 92.5, 126.0, 159.5, 209.5, 238.7 uM)  (24 hr after last dose)</t>
  </si>
  <si>
    <t>Kudo et al 2006</t>
  </si>
  <si>
    <t>ddY</t>
  </si>
  <si>
    <t>0, 20, 50, 100 mg/kg-day</t>
  </si>
  <si>
    <t>IP in propylenglycol:water (1:1, v/v) after neutralization with 1 M NaOH</t>
  </si>
  <si>
    <t>5 days</t>
  </si>
  <si>
    <t>TFA</t>
  </si>
  <si>
    <t>Just et al 1989</t>
  </si>
  <si>
    <t xml:space="preserve">Rat </t>
  </si>
  <si>
    <t>Albino rats of Wistar strain</t>
  </si>
  <si>
    <t>355 mg/kg-day</t>
  </si>
  <si>
    <t xml:space="preserve">IP </t>
  </si>
  <si>
    <t>666 mg/kg-day</t>
  </si>
  <si>
    <t>Ikeda et al 1985</t>
  </si>
  <si>
    <t>100 mg/kg</t>
  </si>
  <si>
    <t>IP in corn oil</t>
  </si>
  <si>
    <t>Single dose</t>
  </si>
  <si>
    <t>Foreman et al 2009</t>
  </si>
  <si>
    <t>Sv/129</t>
  </si>
  <si>
    <t>0, 35, 175, 350 mg/kg-day</t>
  </si>
  <si>
    <r>
      <t>1.5, 86</t>
    </r>
    <r>
      <rPr>
        <sz val="11"/>
        <color theme="1"/>
        <rFont val="Calibri"/>
        <family val="2"/>
      </rPr>
      <t>±</t>
    </r>
    <r>
      <rPr>
        <sz val="12.1"/>
        <color theme="1"/>
        <rFont val="Calibri"/>
        <family val="2"/>
      </rPr>
      <t xml:space="preserve">91, 109±26, 117±35 </t>
    </r>
    <r>
      <rPr>
        <sz val="11"/>
        <color theme="1"/>
        <rFont val="Calibri"/>
        <family val="2"/>
        <scheme val="minor"/>
      </rPr>
      <t>[0, 87</t>
    </r>
    <r>
      <rPr>
        <sz val="11"/>
        <color theme="1"/>
        <rFont val="Calibri"/>
        <family val="2"/>
      </rPr>
      <t>±</t>
    </r>
    <r>
      <rPr>
        <sz val="12.1"/>
        <color theme="1"/>
        <rFont val="Calibri"/>
        <family val="2"/>
      </rPr>
      <t>27, 108±7, 115±11 as reported by US EPA in Table 3-1 on p. 3-5 of Tox Profile]</t>
    </r>
    <r>
      <rPr>
        <sz val="11"/>
        <color theme="1"/>
        <rFont val="Calibri"/>
        <family val="2"/>
        <scheme val="minor"/>
      </rPr>
      <t xml:space="preserve">  (measured 24 hr after last dose)</t>
    </r>
  </si>
  <si>
    <t>PFPrA</t>
  </si>
  <si>
    <t>3M 2002 Hita Lab</t>
  </si>
  <si>
    <t>Crj: CD (SD) IGS</t>
  </si>
  <si>
    <t>0, 5, 20, 80, 320 mg/kg-day</t>
  </si>
  <si>
    <r>
      <t xml:space="preserve">0, 62.6, 125, 250, 500, 1000 mg/kg-day </t>
    </r>
    <r>
      <rPr>
        <b/>
        <sz val="11"/>
        <color rgb="FFFF0000"/>
        <rFont val="Calibri"/>
        <family val="2"/>
        <scheme val="minor"/>
      </rPr>
      <t>(one half dose administered twice daily)</t>
    </r>
  </si>
  <si>
    <t>chem</t>
  </si>
  <si>
    <t>species_name</t>
  </si>
  <si>
    <t>strain</t>
  </si>
  <si>
    <t>sex</t>
  </si>
  <si>
    <t>Exposure Route</t>
  </si>
  <si>
    <t>route</t>
  </si>
  <si>
    <t>dermal</t>
  </si>
  <si>
    <t>Intragastric</t>
  </si>
  <si>
    <t>Intraperitoneal</t>
  </si>
  <si>
    <t>Exposure_duration_d</t>
  </si>
  <si>
    <t>Exposure_duration_hr</t>
  </si>
  <si>
    <t>Dose_A</t>
  </si>
  <si>
    <t>Dose_B</t>
  </si>
  <si>
    <t>Dose_C</t>
  </si>
  <si>
    <t>Dose_D</t>
  </si>
  <si>
    <t>NA</t>
  </si>
  <si>
    <t>Dose_E</t>
  </si>
  <si>
    <t>tau_hr</t>
  </si>
  <si>
    <t>n_doses</t>
  </si>
  <si>
    <t>dosing_regimen</t>
  </si>
  <si>
    <t>once_daily</t>
  </si>
  <si>
    <t>twice_daily</t>
  </si>
  <si>
    <t>Serum_A</t>
  </si>
  <si>
    <t>Serum_B</t>
  </si>
  <si>
    <t>Serum_C</t>
  </si>
  <si>
    <t>Serum_D</t>
  </si>
  <si>
    <t>Serum_E</t>
  </si>
  <si>
    <t>Serum/plasma</t>
  </si>
  <si>
    <t>serum</t>
  </si>
  <si>
    <t>plasma</t>
  </si>
  <si>
    <t>serum_measured_hr</t>
  </si>
  <si>
    <t>dosing_interval</t>
  </si>
  <si>
    <t>sd_Serum_B</t>
  </si>
  <si>
    <t>sd_Serum_C</t>
  </si>
  <si>
    <t>sd_Serum_D</t>
  </si>
  <si>
    <t>sd_Serum_E</t>
  </si>
  <si>
    <t>PFHXA</t>
  </si>
  <si>
    <t>PFHPA</t>
  </si>
  <si>
    <t>PFHXS</t>
  </si>
  <si>
    <t>PFPRA</t>
  </si>
  <si>
    <t>NTP 2019a</t>
  </si>
  <si>
    <t>Dose_zero</t>
  </si>
  <si>
    <t>Serum_zero</t>
  </si>
  <si>
    <t>sd_Serum_zero</t>
  </si>
  <si>
    <t>sd_Serum_A</t>
  </si>
  <si>
    <t>NaPFHpA</t>
  </si>
  <si>
    <t>Anonymous 2017</t>
  </si>
  <si>
    <t>CD1</t>
  </si>
  <si>
    <t>0, 0.5, 10, 50 mg/kg-day</t>
  </si>
  <si>
    <t>PFOA</t>
  </si>
  <si>
    <t>NTP 2019a 28 days</t>
  </si>
  <si>
    <t>Hsd:Sprague Dawley SD)</t>
  </si>
  <si>
    <t>0, 6.25, 12.5, 25, 50, 100 mg/kg-day</t>
  </si>
  <si>
    <t>BD (plasma LOQ 0.025 ug/mL), 0.491, 1.153, 2.960, 9.326, 23.444</t>
  </si>
  <si>
    <t>0.098, 50.690, 73.480, 95.430, 110.720, 148.570</t>
  </si>
  <si>
    <t>Combined 90-day repeat dose toxicity with repro/dev tox screening</t>
  </si>
  <si>
    <t>Das et al. 2008 pregnant F mouse</t>
  </si>
  <si>
    <t>gavage</t>
  </si>
  <si>
    <t>17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</si>
</sst>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.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/>
    </xf>
  </cellXfs>
  <cellStyles count="1">
    <cellStyle name="Normal" xfId="0" builtinId="0"/>
  </cellStyles>
  <dxfs count="41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BF3643-3ADA-4959-9FCE-DC410D8D8942}" name="Table1" displayName="Table1" ref="A1:AM33" totalsRowShown="0" headerRowDxfId="40" dataDxfId="39">
  <autoFilter ref="A1:AM33" xr:uid="{CEBF3643-3ADA-4959-9FCE-DC410D8D8942}">
    <filterColumn colId="1">
      <filters>
        <filter val="PFBS"/>
      </filters>
    </filterColumn>
  </autoFilter>
  <sortState xmlns:xlrd2="http://schemas.microsoft.com/office/spreadsheetml/2017/richdata2" ref="A2:AM31">
    <sortCondition ref="D1:D31"/>
  </sortState>
  <tableColumns count="39">
    <tableColumn id="1" xr3:uid="{5BBCF870-3263-4720-BE5A-65B301A573D0}" name="chem" dataDxfId="38"/>
    <tableColumn id="2" xr3:uid="{99674C6A-B2BD-43E6-AF27-54A80037AADA}" name="Compound administered" dataDxfId="37"/>
    <tableColumn id="3" xr3:uid="{D835B0E8-61F1-45AC-8A01-04DB5A50D1D4}" name="Compound MW" dataDxfId="36"/>
    <tableColumn id="4" xr3:uid="{42440562-6DE9-43D8-BB71-B771E5B4E29A}" name="Study" dataDxfId="35"/>
    <tableColumn id="5" xr3:uid="{29795E3E-F6B5-476A-A5B6-D18211BC3AC1}" name="species_name" dataDxfId="34"/>
    <tableColumn id="6" xr3:uid="{DE3D9085-4F43-4AA8-9E06-ACA7BE8A7670}" name="strain" dataDxfId="33"/>
    <tableColumn id="7" xr3:uid="{B86A49D8-2BF1-4479-BEAC-1C98960E1E99}" name="sex" dataDxfId="32"/>
    <tableColumn id="8" xr3:uid="{25213694-8AA2-47C7-BDA5-CDD926D2664A}" name="Doses" dataDxfId="31"/>
    <tableColumn id="37" xr3:uid="{51531BBC-9B65-430C-8F10-F8262CEC60E2}" name="Dose_zero" dataDxfId="30"/>
    <tableColumn id="9" xr3:uid="{9F39A66A-082F-4B93-9A9A-B982B9A03D7E}" name="Dose_A" dataDxfId="29"/>
    <tableColumn id="10" xr3:uid="{C2D602E6-E947-4C1A-B5F3-56BFC0912332}" name="Dose_B" dataDxfId="28"/>
    <tableColumn id="11" xr3:uid="{962BBF0F-D1AE-467D-81EB-5661895F3F1A}" name="Dose_C" dataDxfId="27"/>
    <tableColumn id="12" xr3:uid="{9C024842-1357-48DC-823B-4C9A63F3DDAB}" name="Dose_D" dataDxfId="26"/>
    <tableColumn id="13" xr3:uid="{DE1DBDB7-51F1-4CB3-8B66-0D3047C213BE}" name="Dose_E" dataDxfId="25"/>
    <tableColumn id="14" xr3:uid="{FA7FC57F-2E24-4156-A959-6EB8F22072C8}" name="tau_hr" dataDxfId="24"/>
    <tableColumn id="15" xr3:uid="{5215B91C-A8C1-4B57-BED1-58E77B39D04D}" name="dosing_interval" dataDxfId="23">
      <calculatedColumnFormula>O2</calculatedColumnFormula>
    </tableColumn>
    <tableColumn id="16" xr3:uid="{03870CE0-CB09-4815-90BA-41CA0EEBAA60}" name="n_doses" dataDxfId="22">
      <calculatedColumnFormula>AM2/O2</calculatedColumnFormula>
    </tableColumn>
    <tableColumn id="38" xr3:uid="{E54C732B-AC29-45FB-AF93-2300D91D28D1}" name="Serum_zero" dataDxfId="21"/>
    <tableColumn id="17" xr3:uid="{CEE3A1B3-5AD6-4547-9CE9-DBA0C550ACEB}" name="Serum_A" dataDxfId="20"/>
    <tableColumn id="18" xr3:uid="{3DA3A83E-CB4D-43F8-A3EF-6A2DFAA623CA}" name="Serum_B" dataDxfId="19"/>
    <tableColumn id="19" xr3:uid="{89A7E559-3EF9-4BD1-8AA0-83CE1DB3DAE9}" name="Serum_C" dataDxfId="18"/>
    <tableColumn id="20" xr3:uid="{4AEE4701-DCE1-430D-B876-427F3D256553}" name="Serum_D" dataDxfId="17"/>
    <tableColumn id="21" xr3:uid="{6EB58785-19C3-420C-881A-4A94475035C5}" name="Serum_E" dataDxfId="16"/>
    <tableColumn id="22" xr3:uid="{C7EF78B9-059A-4232-B275-526641F24F7B}" name="Serum/plasma" dataDxfId="15"/>
    <tableColumn id="30" xr3:uid="{ED70FF92-902A-4F67-A759-634447098784}" name="Serum/plasma levels (ug/mL)" dataDxfId="14"/>
    <tableColumn id="39" xr3:uid="{877AEEF4-FF76-41F2-B63E-1737AE30BC0A}" name="sd_Serum_zero" dataDxfId="13"/>
    <tableColumn id="23" xr3:uid="{7A883C1E-59E2-4B87-BEBC-3CAC944270FC}" name="sd_Serum_A" dataDxfId="12"/>
    <tableColumn id="24" xr3:uid="{E9D681B8-51A4-4E39-9240-0467D93DF419}" name="sd_Serum_B" dataDxfId="11"/>
    <tableColumn id="25" xr3:uid="{1AE28766-AACA-4A5C-8C5B-07370BAAC111}" name="sd_Serum_C" dataDxfId="10"/>
    <tableColumn id="26" xr3:uid="{006DC0E1-8599-4AF5-820C-625187E6716C}" name="sd_Serum_D" dataDxfId="9"/>
    <tableColumn id="27" xr3:uid="{2534D8FB-B52A-4091-B268-8E0E7BA8E089}" name="sd_Serum_E" dataDxfId="8"/>
    <tableColumn id="28" xr3:uid="{15D640E8-3FE2-4650-B475-897FEDD94620}" name="serum_measured_hr" dataDxfId="7"/>
    <tableColumn id="29" xr3:uid="{CE49D29E-C255-4986-88AE-57227E0F2E13}" name="dosing_regimen" dataDxfId="6"/>
    <tableColumn id="31" xr3:uid="{1697CA2C-FE44-49AA-B97B-174C81BE4049}" name="Exposure Route" dataDxfId="5"/>
    <tableColumn id="32" xr3:uid="{78A10D1B-34E0-481B-B1EB-04552811A209}" name="route" dataDxfId="4"/>
    <tableColumn id="33" xr3:uid="{A3545B18-A24D-4338-95AA-313454FDEDE8}" name="Study type" dataDxfId="3"/>
    <tableColumn id="34" xr3:uid="{8EBF6CEB-16ED-41D2-9C32-4A2106766A02}" name="Exposure duration" dataDxfId="2"/>
    <tableColumn id="35" xr3:uid="{1DC6152B-4932-4A09-BDEC-46AA1FF69527}" name="Exposure_duration_d" dataDxfId="1"/>
    <tableColumn id="36" xr3:uid="{328F1E9B-FBDB-488E-ACC9-21188D28CD86}" name="Exposure_duration_hr" dataDxfId="0">
      <calculatedColumnFormula>AL2*24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3"/>
  <sheetViews>
    <sheetView tabSelected="1" zoomScale="85" zoomScaleNormal="85" workbookViewId="0">
      <selection activeCell="R34" sqref="R34"/>
    </sheetView>
  </sheetViews>
  <sheetFormatPr defaultRowHeight="14.3" x14ac:dyDescent="0.25"/>
  <cols>
    <col min="1" max="1" width="10.375" bestFit="1" customWidth="1"/>
    <col min="2" max="2" width="29.625" customWidth="1"/>
    <col min="3" max="3" width="19.25" customWidth="1"/>
    <col min="4" max="4" width="43.625" bestFit="1" customWidth="1"/>
    <col min="5" max="5" width="19" customWidth="1"/>
    <col min="6" max="6" width="37.75" bestFit="1" customWidth="1"/>
    <col min="7" max="7" width="7" customWidth="1"/>
    <col min="8" max="8" width="103.375" bestFit="1" customWidth="1"/>
    <col min="9" max="9" width="16.75" bestFit="1" customWidth="1"/>
    <col min="10" max="13" width="11.75" customWidth="1"/>
    <col min="14" max="14" width="11.625" customWidth="1"/>
    <col min="15" max="15" width="10.25" customWidth="1"/>
    <col min="16" max="16" width="20" customWidth="1"/>
    <col min="17" max="18" width="12.625" customWidth="1"/>
    <col min="19" max="22" width="13.125" customWidth="1"/>
    <col min="23" max="23" width="12.875" customWidth="1"/>
    <col min="24" max="24" width="18.75" customWidth="1"/>
    <col min="25" max="25" width="141.25" bestFit="1" customWidth="1"/>
    <col min="26" max="26" width="18.75" customWidth="1"/>
    <col min="27" max="30" width="17.125" customWidth="1"/>
    <col min="31" max="31" width="16.75" customWidth="1"/>
    <col min="32" max="32" width="25.375" customWidth="1"/>
    <col min="33" max="33" width="20.75" customWidth="1"/>
    <col min="34" max="34" width="43.75" bestFit="1" customWidth="1"/>
    <col min="35" max="36" width="28.75" customWidth="1"/>
    <col min="37" max="37" width="14.875" customWidth="1"/>
    <col min="38" max="38" width="23.125" customWidth="1"/>
    <col min="39" max="39" width="26.625" customWidth="1"/>
    <col min="40" max="40" width="27.25" customWidth="1"/>
  </cols>
  <sheetData>
    <row r="1" spans="1:39" s="1" customFormat="1" ht="14.95" x14ac:dyDescent="0.25">
      <c r="A1" s="1" t="s">
        <v>96</v>
      </c>
      <c r="B1" s="1" t="s">
        <v>0</v>
      </c>
      <c r="C1" s="1" t="s">
        <v>1</v>
      </c>
      <c r="D1" s="1" t="s">
        <v>2</v>
      </c>
      <c r="E1" s="1" t="s">
        <v>97</v>
      </c>
      <c r="F1" s="1" t="s">
        <v>98</v>
      </c>
      <c r="G1" s="1" t="s">
        <v>99</v>
      </c>
      <c r="H1" s="1" t="s">
        <v>3</v>
      </c>
      <c r="I1" s="1" t="s">
        <v>137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112</v>
      </c>
      <c r="O1" s="1" t="s">
        <v>113</v>
      </c>
      <c r="P1" s="1" t="s">
        <v>127</v>
      </c>
      <c r="Q1" s="1" t="s">
        <v>114</v>
      </c>
      <c r="R1" s="1" t="s">
        <v>138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4</v>
      </c>
      <c r="Z1" s="1" t="s">
        <v>139</v>
      </c>
      <c r="AA1" s="1" t="s">
        <v>140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126</v>
      </c>
      <c r="AG1" s="1" t="s">
        <v>115</v>
      </c>
      <c r="AH1" s="1" t="s">
        <v>100</v>
      </c>
      <c r="AI1" s="1" t="s">
        <v>101</v>
      </c>
      <c r="AJ1" s="1" t="s">
        <v>5</v>
      </c>
      <c r="AK1" s="1" t="s">
        <v>6</v>
      </c>
      <c r="AL1" s="1" t="s">
        <v>105</v>
      </c>
      <c r="AM1" s="1" t="s">
        <v>106</v>
      </c>
    </row>
    <row r="2" spans="1:39" s="1" customFormat="1" ht="14.95" hidden="1" x14ac:dyDescent="0.25">
      <c r="A2" s="1" t="s">
        <v>135</v>
      </c>
      <c r="B2" s="1" t="s">
        <v>91</v>
      </c>
      <c r="C2" s="1">
        <v>164.03</v>
      </c>
      <c r="D2" s="1" t="s">
        <v>92</v>
      </c>
      <c r="E2" s="1" t="s">
        <v>10</v>
      </c>
      <c r="F2" s="2" t="s">
        <v>93</v>
      </c>
      <c r="G2" s="1" t="s">
        <v>12</v>
      </c>
      <c r="H2" s="1" t="s">
        <v>94</v>
      </c>
      <c r="I2" s="1">
        <v>0</v>
      </c>
      <c r="J2" s="1">
        <v>5</v>
      </c>
      <c r="K2" s="1">
        <v>20</v>
      </c>
      <c r="L2" s="1">
        <v>80</v>
      </c>
      <c r="M2" s="1">
        <v>320</v>
      </c>
      <c r="N2" s="1" t="s">
        <v>111</v>
      </c>
      <c r="O2" s="1">
        <v>24</v>
      </c>
      <c r="P2" s="1">
        <f t="shared" ref="P2:P32" si="0">O2</f>
        <v>24</v>
      </c>
      <c r="Q2" s="1">
        <f t="shared" ref="Q2:Q32" si="1">AM2/O2</f>
        <v>28</v>
      </c>
      <c r="R2" s="1" t="s">
        <v>111</v>
      </c>
      <c r="S2" s="1" t="s">
        <v>111</v>
      </c>
      <c r="T2" s="1" t="s">
        <v>111</v>
      </c>
      <c r="U2" s="1" t="s">
        <v>111</v>
      </c>
      <c r="V2" s="1" t="s">
        <v>111</v>
      </c>
      <c r="W2" s="1" t="s">
        <v>111</v>
      </c>
      <c r="X2" s="1" t="s">
        <v>111</v>
      </c>
      <c r="Y2" s="1" t="s">
        <v>58</v>
      </c>
      <c r="Z2" s="1" t="s">
        <v>111</v>
      </c>
      <c r="AA2" s="1" t="s">
        <v>111</v>
      </c>
      <c r="AB2" s="1" t="s">
        <v>111</v>
      </c>
      <c r="AC2" s="1" t="s">
        <v>111</v>
      </c>
      <c r="AD2" s="1" t="s">
        <v>111</v>
      </c>
      <c r="AE2" s="1" t="s">
        <v>111</v>
      </c>
      <c r="AF2" s="1" t="s">
        <v>111</v>
      </c>
      <c r="AG2" s="1" t="s">
        <v>116</v>
      </c>
      <c r="AH2" s="1" t="s">
        <v>15</v>
      </c>
      <c r="AI2" s="1" t="s">
        <v>103</v>
      </c>
      <c r="AJ2" s="1" t="s">
        <v>16</v>
      </c>
      <c r="AK2" s="1" t="s">
        <v>17</v>
      </c>
      <c r="AL2" s="1">
        <v>28</v>
      </c>
      <c r="AM2" s="1">
        <f t="shared" ref="AM2:AM32" si="2">AL2*24</f>
        <v>672</v>
      </c>
    </row>
    <row r="3" spans="1:39" s="1" customFormat="1" ht="14.95" hidden="1" x14ac:dyDescent="0.25">
      <c r="A3" s="1" t="s">
        <v>135</v>
      </c>
      <c r="B3" s="1" t="s">
        <v>91</v>
      </c>
      <c r="C3" s="1">
        <v>164.03</v>
      </c>
      <c r="D3" s="1" t="s">
        <v>92</v>
      </c>
      <c r="E3" s="1" t="s">
        <v>10</v>
      </c>
      <c r="F3" s="2" t="s">
        <v>93</v>
      </c>
      <c r="G3" s="1" t="s">
        <v>19</v>
      </c>
      <c r="H3" s="1" t="s">
        <v>94</v>
      </c>
      <c r="I3" s="1">
        <v>0</v>
      </c>
      <c r="J3" s="1">
        <v>5</v>
      </c>
      <c r="K3" s="1">
        <v>20</v>
      </c>
      <c r="L3" s="1">
        <v>80</v>
      </c>
      <c r="M3" s="1">
        <v>320</v>
      </c>
      <c r="N3" s="1" t="s">
        <v>111</v>
      </c>
      <c r="O3" s="1">
        <v>24</v>
      </c>
      <c r="P3" s="1">
        <f t="shared" si="0"/>
        <v>24</v>
      </c>
      <c r="Q3" s="1">
        <f t="shared" si="1"/>
        <v>28</v>
      </c>
      <c r="R3" s="1" t="s">
        <v>111</v>
      </c>
      <c r="S3" s="1" t="s">
        <v>111</v>
      </c>
      <c r="T3" s="1" t="s">
        <v>111</v>
      </c>
      <c r="U3" s="1" t="s">
        <v>111</v>
      </c>
      <c r="V3" s="1" t="s">
        <v>111</v>
      </c>
      <c r="W3" s="1" t="s">
        <v>111</v>
      </c>
      <c r="X3" s="1" t="s">
        <v>111</v>
      </c>
      <c r="Y3" s="1" t="s">
        <v>58</v>
      </c>
      <c r="Z3" s="1" t="s">
        <v>111</v>
      </c>
      <c r="AA3" s="1" t="s">
        <v>111</v>
      </c>
      <c r="AB3" s="1" t="s">
        <v>111</v>
      </c>
      <c r="AC3" s="1" t="s">
        <v>111</v>
      </c>
      <c r="AD3" s="1" t="s">
        <v>111</v>
      </c>
      <c r="AE3" s="1" t="s">
        <v>111</v>
      </c>
      <c r="AF3" s="1" t="s">
        <v>111</v>
      </c>
      <c r="AG3" s="1" t="s">
        <v>116</v>
      </c>
      <c r="AH3" s="1" t="s">
        <v>15</v>
      </c>
      <c r="AI3" s="1" t="s">
        <v>103</v>
      </c>
      <c r="AJ3" s="1" t="s">
        <v>16</v>
      </c>
      <c r="AK3" s="1" t="s">
        <v>17</v>
      </c>
      <c r="AL3" s="1">
        <v>28</v>
      </c>
      <c r="AM3" s="1">
        <f t="shared" si="2"/>
        <v>672</v>
      </c>
    </row>
    <row r="4" spans="1:39" s="1" customFormat="1" ht="14.95" hidden="1" x14ac:dyDescent="0.25">
      <c r="A4" s="3" t="s">
        <v>133</v>
      </c>
      <c r="B4" s="3" t="s">
        <v>141</v>
      </c>
      <c r="C4" s="3">
        <v>386.04</v>
      </c>
      <c r="D4" s="3" t="s">
        <v>142</v>
      </c>
      <c r="E4" s="3" t="s">
        <v>44</v>
      </c>
      <c r="F4" s="3" t="s">
        <v>143</v>
      </c>
      <c r="G4" s="3" t="s">
        <v>19</v>
      </c>
      <c r="H4" s="3" t="s">
        <v>144</v>
      </c>
      <c r="I4" s="1">
        <v>0</v>
      </c>
      <c r="J4" s="1">
        <v>0.5</v>
      </c>
      <c r="K4" s="1">
        <v>10</v>
      </c>
      <c r="L4" s="1">
        <v>50</v>
      </c>
      <c r="M4" s="1" t="s">
        <v>111</v>
      </c>
      <c r="N4" s="1" t="s">
        <v>111</v>
      </c>
      <c r="O4" s="1">
        <v>24</v>
      </c>
      <c r="P4" s="1">
        <f t="shared" si="0"/>
        <v>24</v>
      </c>
      <c r="Q4" s="1">
        <f t="shared" si="1"/>
        <v>90</v>
      </c>
      <c r="R4" s="1" t="s">
        <v>111</v>
      </c>
      <c r="S4" s="1" t="s">
        <v>111</v>
      </c>
      <c r="T4" s="1" t="s">
        <v>111</v>
      </c>
      <c r="U4" s="1" t="s">
        <v>111</v>
      </c>
      <c r="V4" s="1" t="s">
        <v>111</v>
      </c>
      <c r="W4" s="1" t="s">
        <v>111</v>
      </c>
      <c r="X4" s="1" t="s">
        <v>111</v>
      </c>
      <c r="Y4" s="1" t="s">
        <v>111</v>
      </c>
      <c r="Z4" s="1" t="s">
        <v>111</v>
      </c>
      <c r="AA4" s="1" t="s">
        <v>111</v>
      </c>
      <c r="AB4" s="1" t="s">
        <v>111</v>
      </c>
      <c r="AC4" s="1" t="s">
        <v>111</v>
      </c>
      <c r="AD4" s="1" t="s">
        <v>111</v>
      </c>
      <c r="AE4" s="1" t="s">
        <v>111</v>
      </c>
      <c r="AF4" s="1" t="s">
        <v>111</v>
      </c>
      <c r="AG4" s="1" t="s">
        <v>116</v>
      </c>
      <c r="AH4" s="3" t="s">
        <v>15</v>
      </c>
      <c r="AI4" s="1" t="s">
        <v>103</v>
      </c>
      <c r="AJ4" s="3" t="s">
        <v>25</v>
      </c>
      <c r="AK4" s="3" t="s">
        <v>151</v>
      </c>
      <c r="AL4" s="1">
        <v>90</v>
      </c>
      <c r="AM4" s="1">
        <f t="shared" si="2"/>
        <v>2160</v>
      </c>
    </row>
    <row r="5" spans="1:39" s="1" customFormat="1" ht="14.95" hidden="1" x14ac:dyDescent="0.25">
      <c r="A5" s="3" t="s">
        <v>133</v>
      </c>
      <c r="B5" s="3" t="s">
        <v>141</v>
      </c>
      <c r="C5" s="3">
        <v>386.04</v>
      </c>
      <c r="D5" s="3" t="s">
        <v>142</v>
      </c>
      <c r="E5" s="3" t="s">
        <v>44</v>
      </c>
      <c r="F5" s="3" t="s">
        <v>143</v>
      </c>
      <c r="G5" s="3" t="s">
        <v>12</v>
      </c>
      <c r="H5" s="3" t="s">
        <v>144</v>
      </c>
      <c r="I5" s="1">
        <v>0</v>
      </c>
      <c r="J5" s="1">
        <v>0.5</v>
      </c>
      <c r="K5" s="1">
        <v>10</v>
      </c>
      <c r="L5" s="1">
        <v>50</v>
      </c>
      <c r="M5" s="1" t="s">
        <v>111</v>
      </c>
      <c r="N5" s="1" t="s">
        <v>111</v>
      </c>
      <c r="O5" s="1">
        <v>24</v>
      </c>
      <c r="P5" s="1">
        <f t="shared" si="0"/>
        <v>24</v>
      </c>
      <c r="Q5" s="1">
        <f t="shared" si="1"/>
        <v>90</v>
      </c>
      <c r="R5" s="1" t="s">
        <v>111</v>
      </c>
      <c r="S5" s="1" t="s">
        <v>111</v>
      </c>
      <c r="T5" s="1" t="s">
        <v>111</v>
      </c>
      <c r="U5" s="1" t="s">
        <v>111</v>
      </c>
      <c r="V5" s="1" t="s">
        <v>111</v>
      </c>
      <c r="W5" s="1" t="s">
        <v>111</v>
      </c>
      <c r="X5" s="1" t="s">
        <v>111</v>
      </c>
      <c r="Y5" s="1" t="s">
        <v>111</v>
      </c>
      <c r="Z5" s="1" t="s">
        <v>111</v>
      </c>
      <c r="AA5" s="1" t="s">
        <v>111</v>
      </c>
      <c r="AB5" s="1" t="s">
        <v>111</v>
      </c>
      <c r="AC5" s="1" t="s">
        <v>111</v>
      </c>
      <c r="AD5" s="1" t="s">
        <v>111</v>
      </c>
      <c r="AE5" s="1" t="s">
        <v>111</v>
      </c>
      <c r="AF5" s="1" t="s">
        <v>111</v>
      </c>
      <c r="AG5" s="1" t="s">
        <v>116</v>
      </c>
      <c r="AH5" s="3" t="s">
        <v>15</v>
      </c>
      <c r="AI5" s="1" t="s">
        <v>103</v>
      </c>
      <c r="AJ5" s="3" t="s">
        <v>25</v>
      </c>
      <c r="AK5" s="3" t="s">
        <v>151</v>
      </c>
      <c r="AL5" s="1">
        <v>90</v>
      </c>
      <c r="AM5" s="1">
        <f t="shared" si="2"/>
        <v>2160</v>
      </c>
    </row>
    <row r="6" spans="1:39" s="1" customFormat="1" ht="59.95" hidden="1" x14ac:dyDescent="0.25">
      <c r="A6" s="1" t="s">
        <v>7</v>
      </c>
      <c r="B6" s="2" t="s">
        <v>8</v>
      </c>
      <c r="C6" s="2">
        <v>231.07</v>
      </c>
      <c r="D6" s="2" t="s">
        <v>18</v>
      </c>
      <c r="E6" s="1" t="s">
        <v>10</v>
      </c>
      <c r="F6" s="2" t="s">
        <v>11</v>
      </c>
      <c r="G6" s="2" t="s">
        <v>19</v>
      </c>
      <c r="H6" s="1" t="s">
        <v>13</v>
      </c>
      <c r="I6" s="1" t="s">
        <v>111</v>
      </c>
      <c r="J6" s="1">
        <v>5.3</v>
      </c>
      <c r="K6" s="1">
        <v>25.4</v>
      </c>
      <c r="L6" s="1">
        <v>130.19999999999999</v>
      </c>
      <c r="M6" s="1" t="s">
        <v>111</v>
      </c>
      <c r="N6" s="1" t="s">
        <v>111</v>
      </c>
      <c r="O6" s="1">
        <v>24</v>
      </c>
      <c r="P6" s="1">
        <f t="shared" si="0"/>
        <v>24</v>
      </c>
      <c r="Q6" s="1">
        <f t="shared" si="1"/>
        <v>28</v>
      </c>
      <c r="R6" s="1">
        <v>0.01</v>
      </c>
      <c r="S6" s="1">
        <v>0.34</v>
      </c>
      <c r="T6" s="1">
        <v>1.72</v>
      </c>
      <c r="U6" s="1">
        <v>10.3</v>
      </c>
      <c r="V6" s="1" t="s">
        <v>111</v>
      </c>
      <c r="W6" s="1" t="s">
        <v>111</v>
      </c>
      <c r="X6" s="1" t="s">
        <v>124</v>
      </c>
      <c r="Y6" s="2" t="s">
        <v>20</v>
      </c>
      <c r="Z6" s="1" t="s">
        <v>111</v>
      </c>
      <c r="AA6" s="1" t="s">
        <v>111</v>
      </c>
      <c r="AB6" s="1" t="s">
        <v>111</v>
      </c>
      <c r="AC6" s="1" t="s">
        <v>111</v>
      </c>
      <c r="AD6" s="1" t="s">
        <v>111</v>
      </c>
      <c r="AE6" s="1" t="s">
        <v>111</v>
      </c>
      <c r="AF6" s="1">
        <f>AM6+24</f>
        <v>696</v>
      </c>
      <c r="AG6" s="1" t="s">
        <v>116</v>
      </c>
      <c r="AH6" s="1" t="s">
        <v>15</v>
      </c>
      <c r="AI6" s="1" t="s">
        <v>103</v>
      </c>
      <c r="AJ6" s="1" t="s">
        <v>16</v>
      </c>
      <c r="AK6" s="1" t="s">
        <v>17</v>
      </c>
      <c r="AL6" s="1">
        <v>28</v>
      </c>
      <c r="AM6" s="1">
        <f t="shared" si="2"/>
        <v>672</v>
      </c>
    </row>
    <row r="7" spans="1:39" s="1" customFormat="1" ht="59.95" hidden="1" x14ac:dyDescent="0.25">
      <c r="A7" s="1" t="s">
        <v>7</v>
      </c>
      <c r="B7" s="2" t="s">
        <v>8</v>
      </c>
      <c r="C7" s="2">
        <v>231.07</v>
      </c>
      <c r="D7" s="2" t="s">
        <v>9</v>
      </c>
      <c r="E7" s="1" t="s">
        <v>10</v>
      </c>
      <c r="F7" s="2" t="s">
        <v>11</v>
      </c>
      <c r="G7" s="2" t="s">
        <v>12</v>
      </c>
      <c r="H7" s="1" t="s">
        <v>13</v>
      </c>
      <c r="I7" s="1" t="s">
        <v>111</v>
      </c>
      <c r="J7" s="1">
        <v>5.3</v>
      </c>
      <c r="K7" s="1">
        <v>25.4</v>
      </c>
      <c r="L7" s="1">
        <v>130.19999999999999</v>
      </c>
      <c r="M7" s="1" t="s">
        <v>111</v>
      </c>
      <c r="N7" s="1" t="s">
        <v>111</v>
      </c>
      <c r="O7" s="1">
        <v>24</v>
      </c>
      <c r="P7" s="1">
        <f t="shared" si="0"/>
        <v>24</v>
      </c>
      <c r="Q7" s="1">
        <f t="shared" si="1"/>
        <v>28</v>
      </c>
      <c r="R7" s="1">
        <v>0.04</v>
      </c>
      <c r="S7" s="1">
        <v>24.65</v>
      </c>
      <c r="T7" s="1">
        <v>38.04</v>
      </c>
      <c r="U7" s="1">
        <v>82.2</v>
      </c>
      <c r="V7" s="1" t="s">
        <v>111</v>
      </c>
      <c r="W7" s="1" t="s">
        <v>111</v>
      </c>
      <c r="X7" s="1" t="s">
        <v>124</v>
      </c>
      <c r="Y7" s="2" t="s">
        <v>14</v>
      </c>
      <c r="Z7" s="1" t="s">
        <v>111</v>
      </c>
      <c r="AA7" s="1" t="s">
        <v>111</v>
      </c>
      <c r="AB7" s="1" t="s">
        <v>111</v>
      </c>
      <c r="AC7" s="1" t="s">
        <v>111</v>
      </c>
      <c r="AD7" s="1" t="s">
        <v>111</v>
      </c>
      <c r="AE7" s="1" t="s">
        <v>111</v>
      </c>
      <c r="AF7" s="1">
        <f>AM7+24</f>
        <v>696</v>
      </c>
      <c r="AG7" s="1" t="s">
        <v>116</v>
      </c>
      <c r="AH7" s="1" t="s">
        <v>15</v>
      </c>
      <c r="AI7" s="1" t="s">
        <v>103</v>
      </c>
      <c r="AJ7" s="1" t="s">
        <v>16</v>
      </c>
      <c r="AK7" s="1" t="s">
        <v>17</v>
      </c>
      <c r="AL7" s="1">
        <v>28</v>
      </c>
      <c r="AM7" s="1">
        <f t="shared" si="2"/>
        <v>672</v>
      </c>
    </row>
    <row r="8" spans="1:39" s="1" customFormat="1" ht="14.95" hidden="1" x14ac:dyDescent="0.25">
      <c r="A8" s="1" t="s">
        <v>132</v>
      </c>
      <c r="B8" s="1" t="s">
        <v>21</v>
      </c>
      <c r="C8" s="1">
        <v>314.05</v>
      </c>
      <c r="D8" s="1" t="s">
        <v>22</v>
      </c>
      <c r="E8" s="1" t="s">
        <v>10</v>
      </c>
      <c r="F8" s="1" t="s">
        <v>23</v>
      </c>
      <c r="G8" s="1" t="s">
        <v>12</v>
      </c>
      <c r="H8" s="1" t="s">
        <v>24</v>
      </c>
      <c r="I8" s="1" t="s">
        <v>111</v>
      </c>
      <c r="J8" s="1">
        <v>10</v>
      </c>
      <c r="K8" s="1">
        <v>50</v>
      </c>
      <c r="L8" s="1">
        <v>200</v>
      </c>
      <c r="M8" s="1" t="s">
        <v>111</v>
      </c>
      <c r="N8" s="1" t="s">
        <v>111</v>
      </c>
      <c r="O8" s="1">
        <v>24</v>
      </c>
      <c r="P8" s="1">
        <f t="shared" si="0"/>
        <v>24</v>
      </c>
      <c r="Q8" s="1">
        <f t="shared" si="1"/>
        <v>90</v>
      </c>
      <c r="R8" s="1" t="s">
        <v>111</v>
      </c>
      <c r="S8" s="1" t="s">
        <v>111</v>
      </c>
      <c r="T8" s="1" t="s">
        <v>111</v>
      </c>
      <c r="U8" s="1" t="s">
        <v>111</v>
      </c>
      <c r="V8" s="1" t="s">
        <v>111</v>
      </c>
      <c r="W8" s="1" t="s">
        <v>111</v>
      </c>
      <c r="X8" s="1" t="s">
        <v>111</v>
      </c>
      <c r="Z8" s="1" t="s">
        <v>111</v>
      </c>
      <c r="AA8" s="1" t="s">
        <v>111</v>
      </c>
      <c r="AB8" s="1" t="s">
        <v>111</v>
      </c>
      <c r="AC8" s="1" t="s">
        <v>111</v>
      </c>
      <c r="AD8" s="1" t="s">
        <v>111</v>
      </c>
      <c r="AE8" s="1" t="s">
        <v>111</v>
      </c>
      <c r="AF8" s="1" t="s">
        <v>111</v>
      </c>
      <c r="AG8" s="1" t="s">
        <v>116</v>
      </c>
      <c r="AH8" s="1" t="s">
        <v>15</v>
      </c>
      <c r="AI8" s="1" t="s">
        <v>103</v>
      </c>
      <c r="AJ8" s="1" t="s">
        <v>25</v>
      </c>
      <c r="AK8" s="1" t="s">
        <v>26</v>
      </c>
      <c r="AL8" s="1">
        <v>90</v>
      </c>
      <c r="AM8" s="1">
        <f t="shared" si="2"/>
        <v>2160</v>
      </c>
    </row>
    <row r="9" spans="1:39" s="1" customFormat="1" ht="16.3" hidden="1" x14ac:dyDescent="0.25">
      <c r="A9" s="1" t="s">
        <v>7</v>
      </c>
      <c r="B9" s="1" t="s">
        <v>7</v>
      </c>
      <c r="C9" s="1">
        <v>214.04</v>
      </c>
      <c r="D9" s="1" t="s">
        <v>87</v>
      </c>
      <c r="E9" s="1" t="s">
        <v>44</v>
      </c>
      <c r="F9" s="1" t="s">
        <v>88</v>
      </c>
      <c r="G9" s="1" t="s">
        <v>12</v>
      </c>
      <c r="H9" s="1" t="s">
        <v>89</v>
      </c>
      <c r="I9" s="1">
        <v>0</v>
      </c>
      <c r="J9" s="1">
        <v>35</v>
      </c>
      <c r="K9" s="1">
        <v>175</v>
      </c>
      <c r="L9" s="1">
        <v>350</v>
      </c>
      <c r="M9" s="1" t="s">
        <v>111</v>
      </c>
      <c r="N9" s="1" t="s">
        <v>111</v>
      </c>
      <c r="O9" s="1">
        <v>24</v>
      </c>
      <c r="P9" s="1">
        <f t="shared" si="0"/>
        <v>24</v>
      </c>
      <c r="Q9" s="1">
        <f t="shared" si="1"/>
        <v>28</v>
      </c>
      <c r="R9" s="1">
        <v>1.5</v>
      </c>
      <c r="S9" s="1">
        <v>86</v>
      </c>
      <c r="T9" s="1">
        <v>109</v>
      </c>
      <c r="U9" s="1">
        <v>117</v>
      </c>
      <c r="V9" s="1" t="s">
        <v>111</v>
      </c>
      <c r="W9" s="1" t="s">
        <v>111</v>
      </c>
      <c r="X9" s="1" t="s">
        <v>124</v>
      </c>
      <c r="Y9" s="1" t="s">
        <v>90</v>
      </c>
      <c r="Z9" s="1" t="s">
        <v>111</v>
      </c>
      <c r="AA9" s="1">
        <v>91</v>
      </c>
      <c r="AB9" s="1">
        <v>26</v>
      </c>
      <c r="AC9" s="1">
        <v>35</v>
      </c>
      <c r="AD9" s="1" t="s">
        <v>111</v>
      </c>
      <c r="AE9" s="1" t="s">
        <v>111</v>
      </c>
      <c r="AF9" s="1">
        <f>AM9+24</f>
        <v>696</v>
      </c>
      <c r="AG9" s="1" t="s">
        <v>116</v>
      </c>
      <c r="AH9" s="1" t="s">
        <v>15</v>
      </c>
      <c r="AI9" s="1" t="s">
        <v>103</v>
      </c>
      <c r="AJ9" s="1" t="s">
        <v>16</v>
      </c>
      <c r="AK9" s="1" t="s">
        <v>17</v>
      </c>
      <c r="AL9" s="1">
        <v>28</v>
      </c>
      <c r="AM9" s="1">
        <f t="shared" si="2"/>
        <v>672</v>
      </c>
    </row>
    <row r="10" spans="1:39" s="1" customFormat="1" ht="14.95" hidden="1" x14ac:dyDescent="0.25">
      <c r="A10" s="1" t="s">
        <v>133</v>
      </c>
      <c r="B10" s="1" t="s">
        <v>53</v>
      </c>
      <c r="C10" s="1">
        <v>364.06</v>
      </c>
      <c r="D10" s="1" t="s">
        <v>55</v>
      </c>
      <c r="E10" s="1" t="s">
        <v>10</v>
      </c>
      <c r="F10" s="1" t="s">
        <v>56</v>
      </c>
      <c r="G10" s="1" t="s">
        <v>12</v>
      </c>
      <c r="H10" s="1" t="s">
        <v>57</v>
      </c>
      <c r="I10" s="1">
        <v>0</v>
      </c>
      <c r="J10" s="1">
        <v>250</v>
      </c>
      <c r="K10" s="1">
        <v>1000</v>
      </c>
      <c r="L10" s="1" t="s">
        <v>111</v>
      </c>
      <c r="M10" s="1" t="s">
        <v>111</v>
      </c>
      <c r="N10" s="1" t="s">
        <v>111</v>
      </c>
      <c r="O10" s="1">
        <v>24</v>
      </c>
      <c r="P10" s="1">
        <f t="shared" si="0"/>
        <v>24</v>
      </c>
      <c r="Q10" s="1">
        <f t="shared" si="1"/>
        <v>14</v>
      </c>
      <c r="R10" s="1" t="s">
        <v>111</v>
      </c>
      <c r="S10" s="1" t="s">
        <v>111</v>
      </c>
      <c r="T10" s="1" t="s">
        <v>111</v>
      </c>
      <c r="U10" s="1" t="s">
        <v>111</v>
      </c>
      <c r="V10" s="1" t="s">
        <v>111</v>
      </c>
      <c r="W10" s="1" t="s">
        <v>111</v>
      </c>
      <c r="X10" s="1" t="s">
        <v>111</v>
      </c>
      <c r="Y10" s="1" t="s">
        <v>58</v>
      </c>
      <c r="Z10" s="1" t="s">
        <v>111</v>
      </c>
      <c r="AA10" s="1" t="s">
        <v>111</v>
      </c>
      <c r="AB10" s="1" t="s">
        <v>111</v>
      </c>
      <c r="AC10" s="1" t="s">
        <v>111</v>
      </c>
      <c r="AD10" s="1" t="s">
        <v>111</v>
      </c>
      <c r="AE10" s="1" t="s">
        <v>111</v>
      </c>
      <c r="AF10" s="1" t="s">
        <v>111</v>
      </c>
      <c r="AG10" s="1" t="s">
        <v>116</v>
      </c>
      <c r="AH10" s="1" t="s">
        <v>59</v>
      </c>
      <c r="AI10" s="1" t="s">
        <v>102</v>
      </c>
      <c r="AJ10" s="1" t="s">
        <v>16</v>
      </c>
      <c r="AK10" s="1" t="s">
        <v>60</v>
      </c>
      <c r="AL10" s="1">
        <f>7*2</f>
        <v>14</v>
      </c>
      <c r="AM10" s="1">
        <f t="shared" si="2"/>
        <v>336</v>
      </c>
    </row>
    <row r="11" spans="1:39" s="1" customFormat="1" ht="14.95" hidden="1" x14ac:dyDescent="0.25">
      <c r="A11" s="1" t="s">
        <v>133</v>
      </c>
      <c r="B11" s="1" t="s">
        <v>53</v>
      </c>
      <c r="C11" s="1">
        <v>364.06</v>
      </c>
      <c r="D11" s="1" t="s">
        <v>55</v>
      </c>
      <c r="E11" s="1" t="s">
        <v>10</v>
      </c>
      <c r="F11" s="1" t="s">
        <v>56</v>
      </c>
      <c r="G11" s="1" t="s">
        <v>19</v>
      </c>
      <c r="H11" s="1" t="s">
        <v>57</v>
      </c>
      <c r="I11" s="1">
        <v>0</v>
      </c>
      <c r="J11" s="1">
        <v>250</v>
      </c>
      <c r="K11" s="1">
        <v>1000</v>
      </c>
      <c r="L11" s="1" t="s">
        <v>111</v>
      </c>
      <c r="M11" s="1" t="s">
        <v>111</v>
      </c>
      <c r="N11" s="1" t="s">
        <v>111</v>
      </c>
      <c r="O11" s="1">
        <v>24</v>
      </c>
      <c r="P11" s="1">
        <f t="shared" si="0"/>
        <v>24</v>
      </c>
      <c r="Q11" s="1">
        <f t="shared" si="1"/>
        <v>14</v>
      </c>
      <c r="R11" s="1" t="s">
        <v>111</v>
      </c>
      <c r="S11" s="1" t="s">
        <v>111</v>
      </c>
      <c r="T11" s="1" t="s">
        <v>111</v>
      </c>
      <c r="U11" s="1" t="s">
        <v>111</v>
      </c>
      <c r="V11" s="1" t="s">
        <v>111</v>
      </c>
      <c r="W11" s="1" t="s">
        <v>111</v>
      </c>
      <c r="X11" s="1" t="s">
        <v>111</v>
      </c>
      <c r="Y11" s="1" t="s">
        <v>58</v>
      </c>
      <c r="Z11" s="1" t="s">
        <v>111</v>
      </c>
      <c r="AA11" s="1" t="s">
        <v>111</v>
      </c>
      <c r="AB11" s="1" t="s">
        <v>111</v>
      </c>
      <c r="AC11" s="1" t="s">
        <v>111</v>
      </c>
      <c r="AD11" s="1" t="s">
        <v>111</v>
      </c>
      <c r="AE11" s="1" t="s">
        <v>111</v>
      </c>
      <c r="AF11" s="1" t="s">
        <v>111</v>
      </c>
      <c r="AG11" s="1" t="s">
        <v>116</v>
      </c>
      <c r="AH11" s="1" t="s">
        <v>59</v>
      </c>
      <c r="AI11" s="1" t="s">
        <v>102</v>
      </c>
      <c r="AJ11" s="1" t="s">
        <v>16</v>
      </c>
      <c r="AK11" s="1" t="s">
        <v>60</v>
      </c>
      <c r="AL11" s="1">
        <f>7*2</f>
        <v>14</v>
      </c>
      <c r="AM11" s="1">
        <f t="shared" si="2"/>
        <v>336</v>
      </c>
    </row>
    <row r="12" spans="1:39" s="1" customFormat="1" ht="14.95" hidden="1" x14ac:dyDescent="0.25">
      <c r="A12" s="1" t="s">
        <v>7</v>
      </c>
      <c r="B12" s="1" t="s">
        <v>7</v>
      </c>
      <c r="C12" s="1">
        <v>214.04</v>
      </c>
      <c r="D12" s="1" t="s">
        <v>83</v>
      </c>
      <c r="E12" s="1" t="s">
        <v>10</v>
      </c>
      <c r="F12" s="1" t="s">
        <v>33</v>
      </c>
      <c r="G12" s="1" t="s">
        <v>12</v>
      </c>
      <c r="H12" s="1" t="s">
        <v>84</v>
      </c>
      <c r="I12" s="1" t="s">
        <v>111</v>
      </c>
      <c r="J12" s="1">
        <v>100</v>
      </c>
      <c r="K12" s="1" t="s">
        <v>111</v>
      </c>
      <c r="L12" s="1" t="s">
        <v>111</v>
      </c>
      <c r="M12" s="1" t="s">
        <v>111</v>
      </c>
      <c r="N12" s="1" t="s">
        <v>111</v>
      </c>
      <c r="O12" s="1">
        <v>24</v>
      </c>
      <c r="P12" s="1">
        <f t="shared" si="0"/>
        <v>24</v>
      </c>
      <c r="Q12" s="1">
        <f t="shared" si="1"/>
        <v>1</v>
      </c>
      <c r="R12" s="1" t="s">
        <v>111</v>
      </c>
      <c r="S12" s="1" t="s">
        <v>111</v>
      </c>
      <c r="T12" s="1" t="s">
        <v>111</v>
      </c>
      <c r="U12" s="1" t="s">
        <v>111</v>
      </c>
      <c r="V12" s="1" t="s">
        <v>111</v>
      </c>
      <c r="W12" s="1" t="s">
        <v>111</v>
      </c>
      <c r="X12" s="1" t="s">
        <v>111</v>
      </c>
      <c r="Y12" s="1" t="s">
        <v>58</v>
      </c>
      <c r="Z12" s="1" t="s">
        <v>111</v>
      </c>
      <c r="AA12" s="1" t="s">
        <v>111</v>
      </c>
      <c r="AB12" s="1" t="s">
        <v>111</v>
      </c>
      <c r="AC12" s="1" t="s">
        <v>111</v>
      </c>
      <c r="AD12" s="1" t="s">
        <v>111</v>
      </c>
      <c r="AE12" s="1" t="s">
        <v>111</v>
      </c>
      <c r="AF12" s="1" t="s">
        <v>111</v>
      </c>
      <c r="AG12" s="1" t="s">
        <v>116</v>
      </c>
      <c r="AH12" s="1" t="s">
        <v>85</v>
      </c>
      <c r="AI12" s="2" t="s">
        <v>104</v>
      </c>
      <c r="AJ12" s="1" t="s">
        <v>16</v>
      </c>
      <c r="AK12" s="1" t="s">
        <v>86</v>
      </c>
      <c r="AL12" s="1">
        <v>1</v>
      </c>
      <c r="AM12" s="1">
        <f t="shared" si="2"/>
        <v>24</v>
      </c>
    </row>
    <row r="13" spans="1:39" s="1" customFormat="1" ht="14.95" hidden="1" x14ac:dyDescent="0.25">
      <c r="A13" s="1" t="s">
        <v>132</v>
      </c>
      <c r="B13" s="1" t="s">
        <v>21</v>
      </c>
      <c r="C13" s="1">
        <v>314.05</v>
      </c>
      <c r="D13" s="1" t="s">
        <v>43</v>
      </c>
      <c r="E13" s="1" t="s">
        <v>44</v>
      </c>
      <c r="F13" s="1" t="s">
        <v>45</v>
      </c>
      <c r="G13" s="1" t="s">
        <v>12</v>
      </c>
      <c r="H13" s="1" t="s">
        <v>46</v>
      </c>
      <c r="I13" s="1">
        <v>0</v>
      </c>
      <c r="J13" s="1">
        <v>50</v>
      </c>
      <c r="K13" s="1">
        <v>200</v>
      </c>
      <c r="L13" s="1" t="s">
        <v>111</v>
      </c>
      <c r="M13" s="1" t="s">
        <v>111</v>
      </c>
      <c r="N13" s="1" t="s">
        <v>111</v>
      </c>
      <c r="O13" s="1">
        <v>24</v>
      </c>
      <c r="P13" s="1">
        <f t="shared" si="0"/>
        <v>24</v>
      </c>
      <c r="Q13" s="1">
        <f t="shared" si="1"/>
        <v>61</v>
      </c>
      <c r="R13" s="1" t="s">
        <v>111</v>
      </c>
      <c r="S13" s="1" t="s">
        <v>111</v>
      </c>
      <c r="T13" s="1" t="s">
        <v>111</v>
      </c>
      <c r="U13" s="1" t="s">
        <v>111</v>
      </c>
      <c r="V13" s="1" t="s">
        <v>111</v>
      </c>
      <c r="W13" s="1" t="s">
        <v>111</v>
      </c>
      <c r="X13" s="1" t="s">
        <v>111</v>
      </c>
      <c r="Z13" s="1" t="s">
        <v>111</v>
      </c>
      <c r="AA13" s="1" t="s">
        <v>111</v>
      </c>
      <c r="AB13" s="1" t="s">
        <v>111</v>
      </c>
      <c r="AC13" s="1" t="s">
        <v>111</v>
      </c>
      <c r="AD13" s="1" t="s">
        <v>111</v>
      </c>
      <c r="AE13" s="1" t="s">
        <v>111</v>
      </c>
      <c r="AF13" s="1" t="s">
        <v>111</v>
      </c>
      <c r="AG13" s="1" t="s">
        <v>116</v>
      </c>
      <c r="AH13" s="1" t="s">
        <v>15</v>
      </c>
      <c r="AI13" s="1" t="s">
        <v>103</v>
      </c>
      <c r="AJ13" s="1" t="s">
        <v>25</v>
      </c>
      <c r="AK13" s="1" t="s">
        <v>47</v>
      </c>
      <c r="AL13" s="1">
        <f>30.5*2</f>
        <v>61</v>
      </c>
      <c r="AM13" s="1">
        <f t="shared" si="2"/>
        <v>1464</v>
      </c>
    </row>
    <row r="14" spans="1:39" s="1" customFormat="1" ht="32.299999999999997" hidden="1" customHeight="1" x14ac:dyDescent="0.25">
      <c r="A14" s="1" t="s">
        <v>7</v>
      </c>
      <c r="B14" s="1" t="s">
        <v>7</v>
      </c>
      <c r="C14" s="1">
        <v>214.04</v>
      </c>
      <c r="D14" s="1" t="s">
        <v>77</v>
      </c>
      <c r="E14" s="1" t="s">
        <v>78</v>
      </c>
      <c r="F14" s="1" t="s">
        <v>79</v>
      </c>
      <c r="G14" s="1" t="s">
        <v>12</v>
      </c>
      <c r="H14" s="1" t="s">
        <v>82</v>
      </c>
      <c r="I14" s="1" t="s">
        <v>111</v>
      </c>
      <c r="J14" s="1">
        <v>666</v>
      </c>
      <c r="K14" s="1" t="s">
        <v>111</v>
      </c>
      <c r="L14" s="1" t="s">
        <v>111</v>
      </c>
      <c r="M14" s="1" t="s">
        <v>111</v>
      </c>
      <c r="N14" s="1" t="s">
        <v>111</v>
      </c>
      <c r="O14" s="1">
        <v>24</v>
      </c>
      <c r="P14" s="1">
        <f t="shared" si="0"/>
        <v>24</v>
      </c>
      <c r="Q14" s="1">
        <f t="shared" si="1"/>
        <v>5</v>
      </c>
      <c r="R14" s="1" t="s">
        <v>111</v>
      </c>
      <c r="S14" s="1" t="s">
        <v>111</v>
      </c>
      <c r="T14" s="1" t="s">
        <v>111</v>
      </c>
      <c r="U14" s="1" t="s">
        <v>111</v>
      </c>
      <c r="V14" s="1" t="s">
        <v>111</v>
      </c>
      <c r="W14" s="1" t="s">
        <v>111</v>
      </c>
      <c r="X14" s="1" t="s">
        <v>111</v>
      </c>
      <c r="Y14" s="1" t="s">
        <v>58</v>
      </c>
      <c r="Z14" s="1" t="s">
        <v>111</v>
      </c>
      <c r="AA14" s="1" t="s">
        <v>111</v>
      </c>
      <c r="AB14" s="1" t="s">
        <v>111</v>
      </c>
      <c r="AC14" s="1" t="s">
        <v>111</v>
      </c>
      <c r="AD14" s="1" t="s">
        <v>111</v>
      </c>
      <c r="AE14" s="1" t="s">
        <v>111</v>
      </c>
      <c r="AF14" s="1" t="s">
        <v>111</v>
      </c>
      <c r="AG14" s="1" t="s">
        <v>116</v>
      </c>
      <c r="AH14" s="1" t="s">
        <v>81</v>
      </c>
      <c r="AI14" s="2" t="s">
        <v>104</v>
      </c>
      <c r="AJ14" s="1" t="s">
        <v>16</v>
      </c>
      <c r="AK14" s="1" t="s">
        <v>75</v>
      </c>
      <c r="AL14" s="1">
        <v>5</v>
      </c>
      <c r="AM14" s="1">
        <f t="shared" si="2"/>
        <v>120</v>
      </c>
    </row>
    <row r="15" spans="1:39" s="1" customFormat="1" ht="30.75" hidden="1" customHeight="1" x14ac:dyDescent="0.25">
      <c r="A15" s="1" t="s">
        <v>76</v>
      </c>
      <c r="B15" s="1" t="s">
        <v>76</v>
      </c>
      <c r="C15" s="1">
        <v>114.02</v>
      </c>
      <c r="D15" s="1" t="s">
        <v>77</v>
      </c>
      <c r="E15" s="1" t="s">
        <v>78</v>
      </c>
      <c r="F15" s="1" t="s">
        <v>79</v>
      </c>
      <c r="G15" s="1" t="s">
        <v>12</v>
      </c>
      <c r="H15" s="1" t="s">
        <v>80</v>
      </c>
      <c r="I15" s="1" t="s">
        <v>111</v>
      </c>
      <c r="J15" s="1">
        <v>355</v>
      </c>
      <c r="K15" s="1" t="s">
        <v>111</v>
      </c>
      <c r="L15" s="1" t="s">
        <v>111</v>
      </c>
      <c r="M15" s="1" t="s">
        <v>111</v>
      </c>
      <c r="N15" s="1" t="s">
        <v>111</v>
      </c>
      <c r="O15" s="1">
        <v>24</v>
      </c>
      <c r="P15" s="1">
        <f t="shared" si="0"/>
        <v>24</v>
      </c>
      <c r="Q15" s="1">
        <f t="shared" si="1"/>
        <v>5</v>
      </c>
      <c r="R15" s="1" t="s">
        <v>111</v>
      </c>
      <c r="S15" s="1" t="s">
        <v>111</v>
      </c>
      <c r="T15" s="1" t="s">
        <v>111</v>
      </c>
      <c r="U15" s="1" t="s">
        <v>111</v>
      </c>
      <c r="V15" s="1" t="s">
        <v>111</v>
      </c>
      <c r="W15" s="1" t="s">
        <v>111</v>
      </c>
      <c r="X15" s="1" t="s">
        <v>111</v>
      </c>
      <c r="Y15" s="1" t="s">
        <v>58</v>
      </c>
      <c r="Z15" s="1" t="s">
        <v>111</v>
      </c>
      <c r="AA15" s="1" t="s">
        <v>111</v>
      </c>
      <c r="AB15" s="1" t="s">
        <v>111</v>
      </c>
      <c r="AC15" s="1" t="s">
        <v>111</v>
      </c>
      <c r="AD15" s="1" t="s">
        <v>111</v>
      </c>
      <c r="AE15" s="1" t="s">
        <v>111</v>
      </c>
      <c r="AF15" s="1" t="s">
        <v>111</v>
      </c>
      <c r="AG15" s="1" t="s">
        <v>116</v>
      </c>
      <c r="AH15" s="1" t="s">
        <v>81</v>
      </c>
      <c r="AI15" s="2" t="s">
        <v>104</v>
      </c>
      <c r="AJ15" s="1" t="s">
        <v>16</v>
      </c>
      <c r="AK15" s="1" t="s">
        <v>75</v>
      </c>
      <c r="AL15" s="1">
        <v>5</v>
      </c>
      <c r="AM15" s="1">
        <f t="shared" si="2"/>
        <v>120</v>
      </c>
    </row>
    <row r="16" spans="1:39" s="1" customFormat="1" ht="14.95" hidden="1" x14ac:dyDescent="0.25">
      <c r="A16" s="1" t="s">
        <v>132</v>
      </c>
      <c r="B16" s="1" t="s">
        <v>21</v>
      </c>
      <c r="C16" s="1">
        <v>314.05</v>
      </c>
      <c r="D16" s="1" t="s">
        <v>32</v>
      </c>
      <c r="E16" s="1" t="s">
        <v>10</v>
      </c>
      <c r="F16" s="1" t="s">
        <v>33</v>
      </c>
      <c r="G16" s="1" t="s">
        <v>19</v>
      </c>
      <c r="H16" s="1" t="s">
        <v>34</v>
      </c>
      <c r="I16" s="1" t="s">
        <v>111</v>
      </c>
      <c r="J16" s="1">
        <v>5</v>
      </c>
      <c r="K16" s="1">
        <v>30</v>
      </c>
      <c r="L16" s="1">
        <v>200</v>
      </c>
      <c r="M16" s="1" t="s">
        <v>111</v>
      </c>
      <c r="N16" s="1" t="s">
        <v>111</v>
      </c>
      <c r="O16" s="1">
        <v>24</v>
      </c>
      <c r="P16" s="1">
        <f t="shared" si="0"/>
        <v>24</v>
      </c>
      <c r="Q16" s="1">
        <f t="shared" si="1"/>
        <v>749</v>
      </c>
      <c r="R16" s="1" t="s">
        <v>111</v>
      </c>
      <c r="S16" s="1" t="s">
        <v>111</v>
      </c>
      <c r="T16" s="1" t="s">
        <v>111</v>
      </c>
      <c r="U16" s="1" t="s">
        <v>111</v>
      </c>
      <c r="V16" s="1" t="s">
        <v>111</v>
      </c>
      <c r="W16" s="1" t="s">
        <v>111</v>
      </c>
      <c r="X16" s="1" t="s">
        <v>111</v>
      </c>
      <c r="Z16" s="1" t="s">
        <v>111</v>
      </c>
      <c r="AA16" s="1" t="s">
        <v>111</v>
      </c>
      <c r="AB16" s="1" t="s">
        <v>111</v>
      </c>
      <c r="AC16" s="1" t="s">
        <v>111</v>
      </c>
      <c r="AD16" s="1" t="s">
        <v>111</v>
      </c>
      <c r="AE16" s="1" t="s">
        <v>111</v>
      </c>
      <c r="AF16" s="1" t="s">
        <v>111</v>
      </c>
      <c r="AG16" s="1" t="s">
        <v>116</v>
      </c>
      <c r="AH16" s="1" t="s">
        <v>15</v>
      </c>
      <c r="AI16" s="1" t="s">
        <v>103</v>
      </c>
      <c r="AJ16" s="1" t="s">
        <v>35</v>
      </c>
      <c r="AK16" s="1" t="s">
        <v>36</v>
      </c>
      <c r="AL16" s="1">
        <f>107*7</f>
        <v>749</v>
      </c>
      <c r="AM16" s="1">
        <f t="shared" si="2"/>
        <v>17976</v>
      </c>
    </row>
    <row r="17" spans="1:39" s="1" customFormat="1" ht="14.95" hidden="1" x14ac:dyDescent="0.25">
      <c r="A17" s="1" t="s">
        <v>132</v>
      </c>
      <c r="B17" s="1" t="s">
        <v>21</v>
      </c>
      <c r="C17" s="1">
        <v>314.05</v>
      </c>
      <c r="D17" s="1" t="s">
        <v>37</v>
      </c>
      <c r="E17" s="1" t="s">
        <v>10</v>
      </c>
      <c r="F17" s="1" t="s">
        <v>33</v>
      </c>
      <c r="G17" s="1" t="s">
        <v>12</v>
      </c>
      <c r="H17" s="1" t="s">
        <v>38</v>
      </c>
      <c r="I17" s="1" t="s">
        <v>111</v>
      </c>
      <c r="J17" s="1">
        <v>2.5</v>
      </c>
      <c r="K17" s="1">
        <v>15</v>
      </c>
      <c r="L17" s="1">
        <v>100</v>
      </c>
      <c r="M17" s="1" t="s">
        <v>111</v>
      </c>
      <c r="N17" s="1" t="s">
        <v>111</v>
      </c>
      <c r="O17" s="1">
        <v>24</v>
      </c>
      <c r="P17" s="1">
        <f t="shared" si="0"/>
        <v>24</v>
      </c>
      <c r="Q17" s="1">
        <f t="shared" si="1"/>
        <v>749</v>
      </c>
      <c r="R17" s="1" t="s">
        <v>111</v>
      </c>
      <c r="S17" s="1" t="s">
        <v>111</v>
      </c>
      <c r="T17" s="1" t="s">
        <v>111</v>
      </c>
      <c r="U17" s="1" t="s">
        <v>111</v>
      </c>
      <c r="V17" s="1" t="s">
        <v>111</v>
      </c>
      <c r="W17" s="1" t="s">
        <v>111</v>
      </c>
      <c r="X17" s="1" t="s">
        <v>111</v>
      </c>
      <c r="Z17" s="1" t="s">
        <v>111</v>
      </c>
      <c r="AA17" s="1" t="s">
        <v>111</v>
      </c>
      <c r="AB17" s="1" t="s">
        <v>111</v>
      </c>
      <c r="AC17" s="1" t="s">
        <v>111</v>
      </c>
      <c r="AD17" s="1" t="s">
        <v>111</v>
      </c>
      <c r="AE17" s="1" t="s">
        <v>111</v>
      </c>
      <c r="AF17" s="1" t="s">
        <v>111</v>
      </c>
      <c r="AG17" s="1" t="s">
        <v>116</v>
      </c>
      <c r="AH17" s="1" t="s">
        <v>15</v>
      </c>
      <c r="AI17" s="1" t="s">
        <v>103</v>
      </c>
      <c r="AJ17" s="1" t="s">
        <v>35</v>
      </c>
      <c r="AK17" s="1" t="s">
        <v>36</v>
      </c>
      <c r="AL17" s="1">
        <f>107*7</f>
        <v>749</v>
      </c>
      <c r="AM17" s="1">
        <f t="shared" si="2"/>
        <v>17976</v>
      </c>
    </row>
    <row r="18" spans="1:39" s="1" customFormat="1" ht="30.1" hidden="1" x14ac:dyDescent="0.25">
      <c r="A18" s="1" t="s">
        <v>133</v>
      </c>
      <c r="B18" s="1" t="s">
        <v>53</v>
      </c>
      <c r="C18" s="1">
        <v>364.06</v>
      </c>
      <c r="D18" s="1" t="s">
        <v>71</v>
      </c>
      <c r="E18" s="1" t="s">
        <v>44</v>
      </c>
      <c r="F18" s="1" t="s">
        <v>72</v>
      </c>
      <c r="G18" s="1" t="s">
        <v>12</v>
      </c>
      <c r="H18" s="1" t="s">
        <v>73</v>
      </c>
      <c r="I18" s="1">
        <v>0</v>
      </c>
      <c r="J18" s="1">
        <v>20</v>
      </c>
      <c r="K18" s="1">
        <v>50</v>
      </c>
      <c r="L18" s="1">
        <v>100</v>
      </c>
      <c r="M18" s="1" t="s">
        <v>111</v>
      </c>
      <c r="N18" s="1" t="s">
        <v>111</v>
      </c>
      <c r="O18" s="1">
        <v>24</v>
      </c>
      <c r="P18" s="1">
        <f t="shared" si="0"/>
        <v>24</v>
      </c>
      <c r="Q18" s="1">
        <f t="shared" si="1"/>
        <v>5</v>
      </c>
      <c r="R18" s="1" t="s">
        <v>111</v>
      </c>
      <c r="S18" s="1" t="s">
        <v>111</v>
      </c>
      <c r="T18" s="1" t="s">
        <v>111</v>
      </c>
      <c r="U18" s="1" t="s">
        <v>111</v>
      </c>
      <c r="V18" s="1" t="s">
        <v>111</v>
      </c>
      <c r="W18" s="1" t="s">
        <v>111</v>
      </c>
      <c r="X18" s="1" t="s">
        <v>111</v>
      </c>
      <c r="Y18" s="1" t="s">
        <v>58</v>
      </c>
      <c r="Z18" s="1" t="s">
        <v>111</v>
      </c>
      <c r="AA18" s="1" t="s">
        <v>111</v>
      </c>
      <c r="AB18" s="1" t="s">
        <v>111</v>
      </c>
      <c r="AC18" s="1" t="s">
        <v>111</v>
      </c>
      <c r="AD18" s="1" t="s">
        <v>111</v>
      </c>
      <c r="AE18" s="1" t="s">
        <v>111</v>
      </c>
      <c r="AF18" s="1" t="s">
        <v>111</v>
      </c>
      <c r="AG18" s="1" t="s">
        <v>116</v>
      </c>
      <c r="AH18" s="2" t="s">
        <v>74</v>
      </c>
      <c r="AI18" s="2" t="s">
        <v>104</v>
      </c>
      <c r="AJ18" s="1" t="s">
        <v>16</v>
      </c>
      <c r="AK18" s="1" t="s">
        <v>75</v>
      </c>
      <c r="AL18" s="1">
        <v>5</v>
      </c>
      <c r="AM18" s="1">
        <f t="shared" si="2"/>
        <v>120</v>
      </c>
    </row>
    <row r="19" spans="1:39" s="1" customFormat="1" ht="30.1" hidden="1" x14ac:dyDescent="0.25">
      <c r="A19" s="1" t="s">
        <v>133</v>
      </c>
      <c r="B19" s="1" t="s">
        <v>53</v>
      </c>
      <c r="C19" s="1">
        <v>364.06</v>
      </c>
      <c r="D19" s="1" t="s">
        <v>71</v>
      </c>
      <c r="E19" s="1" t="s">
        <v>44</v>
      </c>
      <c r="F19" s="1" t="s">
        <v>72</v>
      </c>
      <c r="G19" s="1" t="s">
        <v>19</v>
      </c>
      <c r="H19" s="1" t="s">
        <v>73</v>
      </c>
      <c r="I19" s="1">
        <v>0</v>
      </c>
      <c r="J19" s="1">
        <v>20</v>
      </c>
      <c r="K19" s="1">
        <v>50</v>
      </c>
      <c r="L19" s="1">
        <v>100</v>
      </c>
      <c r="M19" s="1" t="s">
        <v>111</v>
      </c>
      <c r="N19" s="1" t="s">
        <v>111</v>
      </c>
      <c r="O19" s="1">
        <v>24</v>
      </c>
      <c r="P19" s="1">
        <f t="shared" si="0"/>
        <v>24</v>
      </c>
      <c r="Q19" s="1">
        <f t="shared" si="1"/>
        <v>5</v>
      </c>
      <c r="R19" s="1" t="s">
        <v>111</v>
      </c>
      <c r="S19" s="1" t="s">
        <v>111</v>
      </c>
      <c r="T19" s="1" t="s">
        <v>111</v>
      </c>
      <c r="U19" s="1" t="s">
        <v>111</v>
      </c>
      <c r="V19" s="1" t="s">
        <v>111</v>
      </c>
      <c r="W19" s="1" t="s">
        <v>111</v>
      </c>
      <c r="X19" s="1" t="s">
        <v>111</v>
      </c>
      <c r="Y19" s="1" t="s">
        <v>58</v>
      </c>
      <c r="Z19" s="1" t="s">
        <v>111</v>
      </c>
      <c r="AA19" s="1" t="s">
        <v>111</v>
      </c>
      <c r="AB19" s="1" t="s">
        <v>111</v>
      </c>
      <c r="AC19" s="1" t="s">
        <v>111</v>
      </c>
      <c r="AD19" s="1" t="s">
        <v>111</v>
      </c>
      <c r="AE19" s="1" t="s">
        <v>111</v>
      </c>
      <c r="AF19" s="1" t="s">
        <v>111</v>
      </c>
      <c r="AG19" s="1" t="s">
        <v>116</v>
      </c>
      <c r="AH19" s="2" t="s">
        <v>74</v>
      </c>
      <c r="AI19" s="2" t="s">
        <v>104</v>
      </c>
      <c r="AJ19" s="1" t="s">
        <v>16</v>
      </c>
      <c r="AK19" s="1" t="s">
        <v>75</v>
      </c>
      <c r="AL19" s="1">
        <v>5</v>
      </c>
      <c r="AM19" s="1">
        <f t="shared" si="2"/>
        <v>120</v>
      </c>
    </row>
    <row r="20" spans="1:39" s="1" customFormat="1" ht="14.95" hidden="1" x14ac:dyDescent="0.25">
      <c r="A20" s="1" t="s">
        <v>132</v>
      </c>
      <c r="B20" s="1" t="s">
        <v>27</v>
      </c>
      <c r="C20" s="1">
        <v>336.03</v>
      </c>
      <c r="D20" s="1" t="s">
        <v>31</v>
      </c>
      <c r="E20" s="1" t="s">
        <v>10</v>
      </c>
      <c r="F20" s="1" t="s">
        <v>23</v>
      </c>
      <c r="G20" s="1" t="s">
        <v>19</v>
      </c>
      <c r="H20" s="1" t="s">
        <v>29</v>
      </c>
      <c r="I20" s="1" t="s">
        <v>111</v>
      </c>
      <c r="J20" s="1">
        <v>10</v>
      </c>
      <c r="K20" s="1">
        <v>50</v>
      </c>
      <c r="L20" s="1">
        <v>200</v>
      </c>
      <c r="M20" s="1" t="s">
        <v>111</v>
      </c>
      <c r="N20" s="1" t="s">
        <v>111</v>
      </c>
      <c r="O20" s="1">
        <v>24</v>
      </c>
      <c r="P20" s="1">
        <f t="shared" si="0"/>
        <v>24</v>
      </c>
      <c r="Q20" s="1">
        <f t="shared" si="1"/>
        <v>92</v>
      </c>
      <c r="R20" s="1" t="s">
        <v>111</v>
      </c>
      <c r="S20" s="1" t="s">
        <v>111</v>
      </c>
      <c r="T20" s="1" t="s">
        <v>111</v>
      </c>
      <c r="U20" s="1" t="s">
        <v>111</v>
      </c>
      <c r="V20" s="1" t="s">
        <v>111</v>
      </c>
      <c r="W20" s="1" t="s">
        <v>111</v>
      </c>
      <c r="X20" s="1" t="s">
        <v>111</v>
      </c>
      <c r="Z20" s="1" t="s">
        <v>111</v>
      </c>
      <c r="AA20" s="1" t="s">
        <v>111</v>
      </c>
      <c r="AB20" s="1" t="s">
        <v>111</v>
      </c>
      <c r="AC20" s="1" t="s">
        <v>111</v>
      </c>
      <c r="AD20" s="1" t="s">
        <v>111</v>
      </c>
      <c r="AE20" s="1" t="s">
        <v>111</v>
      </c>
      <c r="AF20" s="1" t="s">
        <v>111</v>
      </c>
      <c r="AG20" s="1" t="s">
        <v>116</v>
      </c>
      <c r="AH20" s="1" t="s">
        <v>15</v>
      </c>
      <c r="AI20" s="1" t="s">
        <v>103</v>
      </c>
      <c r="AJ20" s="1" t="s">
        <v>25</v>
      </c>
      <c r="AK20" s="1" t="s">
        <v>30</v>
      </c>
      <c r="AL20" s="1">
        <v>92</v>
      </c>
      <c r="AM20" s="1">
        <f t="shared" si="2"/>
        <v>2208</v>
      </c>
    </row>
    <row r="21" spans="1:39" s="1" customFormat="1" ht="14.95" hidden="1" x14ac:dyDescent="0.25">
      <c r="A21" s="1" t="s">
        <v>132</v>
      </c>
      <c r="B21" s="1" t="s">
        <v>27</v>
      </c>
      <c r="C21" s="1">
        <v>336.03</v>
      </c>
      <c r="D21" s="1" t="s">
        <v>28</v>
      </c>
      <c r="E21" s="1" t="s">
        <v>10</v>
      </c>
      <c r="F21" s="1" t="s">
        <v>23</v>
      </c>
      <c r="G21" s="1" t="s">
        <v>12</v>
      </c>
      <c r="H21" s="1" t="s">
        <v>29</v>
      </c>
      <c r="I21" s="1" t="s">
        <v>111</v>
      </c>
      <c r="J21" s="1">
        <v>10</v>
      </c>
      <c r="K21" s="1">
        <v>50</v>
      </c>
      <c r="L21" s="1">
        <v>200</v>
      </c>
      <c r="M21" s="1" t="s">
        <v>111</v>
      </c>
      <c r="N21" s="1" t="s">
        <v>111</v>
      </c>
      <c r="O21" s="1">
        <v>24</v>
      </c>
      <c r="P21" s="1">
        <f t="shared" si="0"/>
        <v>24</v>
      </c>
      <c r="Q21" s="1">
        <f t="shared" si="1"/>
        <v>92</v>
      </c>
      <c r="R21" s="1" t="s">
        <v>111</v>
      </c>
      <c r="S21" s="1" t="s">
        <v>111</v>
      </c>
      <c r="T21" s="1" t="s">
        <v>111</v>
      </c>
      <c r="U21" s="1" t="s">
        <v>111</v>
      </c>
      <c r="V21" s="1" t="s">
        <v>111</v>
      </c>
      <c r="W21" s="1" t="s">
        <v>111</v>
      </c>
      <c r="X21" s="1" t="s">
        <v>111</v>
      </c>
      <c r="Z21" s="1" t="s">
        <v>111</v>
      </c>
      <c r="AA21" s="1" t="s">
        <v>111</v>
      </c>
      <c r="AB21" s="1" t="s">
        <v>111</v>
      </c>
      <c r="AC21" s="1" t="s">
        <v>111</v>
      </c>
      <c r="AD21" s="1" t="s">
        <v>111</v>
      </c>
      <c r="AE21" s="1" t="s">
        <v>111</v>
      </c>
      <c r="AF21" s="1" t="s">
        <v>111</v>
      </c>
      <c r="AG21" s="1" t="s">
        <v>116</v>
      </c>
      <c r="AH21" s="1" t="s">
        <v>15</v>
      </c>
      <c r="AI21" s="1" t="s">
        <v>103</v>
      </c>
      <c r="AJ21" s="1" t="s">
        <v>25</v>
      </c>
      <c r="AK21" s="1" t="s">
        <v>30</v>
      </c>
      <c r="AL21" s="1">
        <v>92</v>
      </c>
      <c r="AM21" s="1">
        <f t="shared" si="2"/>
        <v>2208</v>
      </c>
    </row>
    <row r="22" spans="1:39" s="1" customFormat="1" ht="14.95" x14ac:dyDescent="0.25">
      <c r="A22" s="1" t="s">
        <v>61</v>
      </c>
      <c r="B22" s="1" t="s">
        <v>61</v>
      </c>
      <c r="C22" s="1">
        <v>300.10000000000002</v>
      </c>
      <c r="D22" s="1" t="s">
        <v>62</v>
      </c>
      <c r="E22" s="1" t="s">
        <v>10</v>
      </c>
      <c r="F22" s="1" t="s">
        <v>39</v>
      </c>
      <c r="G22" s="1" t="s">
        <v>12</v>
      </c>
      <c r="H22" s="1" t="s">
        <v>63</v>
      </c>
      <c r="I22" s="1">
        <v>0</v>
      </c>
      <c r="J22" s="1">
        <v>62.6</v>
      </c>
      <c r="K22" s="1">
        <v>125</v>
      </c>
      <c r="L22" s="1">
        <v>250</v>
      </c>
      <c r="M22" s="1">
        <v>500</v>
      </c>
      <c r="N22" s="1">
        <v>1000</v>
      </c>
      <c r="O22" s="1">
        <v>12</v>
      </c>
      <c r="P22" s="1">
        <f t="shared" si="0"/>
        <v>12</v>
      </c>
      <c r="Q22" s="1">
        <f t="shared" si="1"/>
        <v>56</v>
      </c>
      <c r="R22" s="1">
        <v>0</v>
      </c>
      <c r="S22" s="1">
        <v>0.09</v>
      </c>
      <c r="T22" s="1">
        <v>2.222</v>
      </c>
      <c r="U22" s="1">
        <v>5.3659999999999997</v>
      </c>
      <c r="V22" s="1">
        <v>12.43</v>
      </c>
      <c r="W22" s="1">
        <v>43.16</v>
      </c>
      <c r="X22" s="1" t="s">
        <v>125</v>
      </c>
      <c r="Y22" s="1" t="s">
        <v>64</v>
      </c>
      <c r="Z22" s="1" t="s">
        <v>111</v>
      </c>
      <c r="AA22" s="1" t="s">
        <v>111</v>
      </c>
      <c r="AB22" s="1" t="s">
        <v>111</v>
      </c>
      <c r="AC22" s="1" t="s">
        <v>111</v>
      </c>
      <c r="AD22" s="1" t="s">
        <v>111</v>
      </c>
      <c r="AE22" s="1" t="s">
        <v>111</v>
      </c>
      <c r="AF22" s="1">
        <f t="shared" ref="AF22:AF32" si="3">AM22+24</f>
        <v>696</v>
      </c>
      <c r="AG22" s="1" t="s">
        <v>117</v>
      </c>
      <c r="AH22" s="1" t="s">
        <v>41</v>
      </c>
      <c r="AI22" s="1" t="s">
        <v>103</v>
      </c>
      <c r="AJ22" s="1" t="s">
        <v>16</v>
      </c>
      <c r="AK22" s="1" t="s">
        <v>17</v>
      </c>
      <c r="AL22" s="1">
        <v>28</v>
      </c>
      <c r="AM22" s="1">
        <f t="shared" si="2"/>
        <v>672</v>
      </c>
    </row>
    <row r="23" spans="1:39" s="1" customFormat="1" ht="14.95" x14ac:dyDescent="0.25">
      <c r="A23" s="1" t="s">
        <v>61</v>
      </c>
      <c r="B23" s="1" t="s">
        <v>61</v>
      </c>
      <c r="C23" s="1">
        <v>300.10000000000002</v>
      </c>
      <c r="D23" s="1" t="s">
        <v>62</v>
      </c>
      <c r="E23" s="1" t="s">
        <v>10</v>
      </c>
      <c r="F23" s="1" t="s">
        <v>39</v>
      </c>
      <c r="G23" s="1" t="s">
        <v>19</v>
      </c>
      <c r="H23" s="1" t="s">
        <v>63</v>
      </c>
      <c r="I23" s="1">
        <v>0</v>
      </c>
      <c r="J23" s="1">
        <v>62.6</v>
      </c>
      <c r="K23" s="1">
        <v>125</v>
      </c>
      <c r="L23" s="1">
        <v>250</v>
      </c>
      <c r="M23" s="1">
        <v>500</v>
      </c>
      <c r="N23" s="1">
        <v>1000</v>
      </c>
      <c r="O23" s="1">
        <v>12</v>
      </c>
      <c r="P23" s="1">
        <f t="shared" si="0"/>
        <v>12</v>
      </c>
      <c r="Q23" s="1">
        <f t="shared" si="1"/>
        <v>56</v>
      </c>
      <c r="R23" s="1">
        <v>0</v>
      </c>
      <c r="S23" s="1">
        <v>0.154</v>
      </c>
      <c r="T23" s="1">
        <v>0.309</v>
      </c>
      <c r="U23" s="1">
        <v>0.93100000000000005</v>
      </c>
      <c r="V23" s="1">
        <v>8.1709999999999994</v>
      </c>
      <c r="W23" s="1">
        <v>25.454999999999998</v>
      </c>
      <c r="X23" s="1" t="s">
        <v>125</v>
      </c>
      <c r="Y23" s="1" t="s">
        <v>65</v>
      </c>
      <c r="Z23" s="1" t="s">
        <v>111</v>
      </c>
      <c r="AA23" s="1" t="s">
        <v>111</v>
      </c>
      <c r="AB23" s="1" t="s">
        <v>111</v>
      </c>
      <c r="AC23" s="1" t="s">
        <v>111</v>
      </c>
      <c r="AD23" s="1" t="s">
        <v>111</v>
      </c>
      <c r="AE23" s="1" t="s">
        <v>111</v>
      </c>
      <c r="AF23" s="1">
        <f t="shared" si="3"/>
        <v>696</v>
      </c>
      <c r="AG23" s="1" t="s">
        <v>117</v>
      </c>
      <c r="AH23" s="1" t="s">
        <v>41</v>
      </c>
      <c r="AI23" s="1" t="s">
        <v>103</v>
      </c>
      <c r="AJ23" s="1" t="s">
        <v>16</v>
      </c>
      <c r="AK23" s="1" t="s">
        <v>17</v>
      </c>
      <c r="AL23" s="1">
        <v>28</v>
      </c>
      <c r="AM23" s="1">
        <f t="shared" si="2"/>
        <v>672</v>
      </c>
    </row>
    <row r="24" spans="1:39" s="1" customFormat="1" ht="14.95" hidden="1" x14ac:dyDescent="0.25">
      <c r="A24" s="1" t="s">
        <v>134</v>
      </c>
      <c r="B24" s="1" t="s">
        <v>66</v>
      </c>
      <c r="C24" s="1">
        <v>438.21</v>
      </c>
      <c r="D24" s="1" t="s">
        <v>62</v>
      </c>
      <c r="E24" s="1" t="s">
        <v>10</v>
      </c>
      <c r="F24" s="1" t="s">
        <v>39</v>
      </c>
      <c r="G24" s="1" t="s">
        <v>12</v>
      </c>
      <c r="H24" s="1" t="s">
        <v>67</v>
      </c>
      <c r="I24" s="1">
        <v>0</v>
      </c>
      <c r="J24" s="1">
        <v>0.625</v>
      </c>
      <c r="K24" s="1">
        <v>1.25</v>
      </c>
      <c r="L24" s="1">
        <v>2.5</v>
      </c>
      <c r="M24" s="1">
        <v>5</v>
      </c>
      <c r="N24" s="1">
        <v>10</v>
      </c>
      <c r="O24" s="1">
        <v>24</v>
      </c>
      <c r="P24" s="1">
        <f t="shared" si="0"/>
        <v>24</v>
      </c>
      <c r="Q24" s="1">
        <f t="shared" si="1"/>
        <v>28</v>
      </c>
      <c r="R24" s="1">
        <v>0.10199999999999999</v>
      </c>
      <c r="S24" s="1">
        <v>66.760000000000005</v>
      </c>
      <c r="T24" s="1">
        <v>92.08</v>
      </c>
      <c r="U24" s="1">
        <v>129</v>
      </c>
      <c r="V24" s="1">
        <v>161.69999999999999</v>
      </c>
      <c r="W24" s="1">
        <v>198.6</v>
      </c>
      <c r="X24" s="1" t="s">
        <v>124</v>
      </c>
      <c r="Y24" s="1" t="s">
        <v>68</v>
      </c>
      <c r="Z24" s="1" t="s">
        <v>111</v>
      </c>
      <c r="AA24" s="1" t="s">
        <v>111</v>
      </c>
      <c r="AB24" s="1" t="s">
        <v>111</v>
      </c>
      <c r="AC24" s="1" t="s">
        <v>111</v>
      </c>
      <c r="AD24" s="1" t="s">
        <v>111</v>
      </c>
      <c r="AE24" s="1" t="s">
        <v>111</v>
      </c>
      <c r="AF24" s="1">
        <f t="shared" si="3"/>
        <v>696</v>
      </c>
      <c r="AG24" s="1" t="s">
        <v>116</v>
      </c>
      <c r="AH24" s="1" t="s">
        <v>41</v>
      </c>
      <c r="AI24" s="1" t="s">
        <v>103</v>
      </c>
      <c r="AJ24" s="1" t="s">
        <v>16</v>
      </c>
      <c r="AK24" s="1" t="s">
        <v>17</v>
      </c>
      <c r="AL24" s="1">
        <v>28</v>
      </c>
      <c r="AM24" s="1">
        <f t="shared" si="2"/>
        <v>672</v>
      </c>
    </row>
    <row r="25" spans="1:39" s="1" customFormat="1" ht="14.95" hidden="1" x14ac:dyDescent="0.25">
      <c r="A25" s="1" t="s">
        <v>134</v>
      </c>
      <c r="B25" s="1" t="s">
        <v>66</v>
      </c>
      <c r="C25" s="1">
        <v>438.21</v>
      </c>
      <c r="D25" s="1" t="s">
        <v>62</v>
      </c>
      <c r="E25" s="1" t="s">
        <v>10</v>
      </c>
      <c r="F25" s="1" t="s">
        <v>39</v>
      </c>
      <c r="G25" s="1" t="s">
        <v>19</v>
      </c>
      <c r="H25" s="1" t="s">
        <v>69</v>
      </c>
      <c r="I25" s="1">
        <v>0</v>
      </c>
      <c r="J25" s="1">
        <v>3.12</v>
      </c>
      <c r="K25" s="1">
        <v>6.25</v>
      </c>
      <c r="L25" s="1">
        <v>12.5</v>
      </c>
      <c r="M25" s="1">
        <v>25</v>
      </c>
      <c r="N25" s="1">
        <v>50</v>
      </c>
      <c r="O25" s="1">
        <v>24</v>
      </c>
      <c r="P25" s="1">
        <f t="shared" si="0"/>
        <v>24</v>
      </c>
      <c r="Q25" s="1">
        <f t="shared" si="1"/>
        <v>28</v>
      </c>
      <c r="R25" s="1">
        <v>0.17499999999999999</v>
      </c>
      <c r="S25" s="1">
        <v>37.03</v>
      </c>
      <c r="T25" s="1">
        <v>50.41</v>
      </c>
      <c r="U25" s="1">
        <v>63.82</v>
      </c>
      <c r="V25" s="1">
        <v>83.82</v>
      </c>
      <c r="W25" s="1">
        <v>95.51</v>
      </c>
      <c r="X25" s="1" t="s">
        <v>124</v>
      </c>
      <c r="Y25" s="1" t="s">
        <v>70</v>
      </c>
      <c r="Z25" s="1" t="s">
        <v>111</v>
      </c>
      <c r="AA25" s="1" t="s">
        <v>111</v>
      </c>
      <c r="AB25" s="1" t="s">
        <v>111</v>
      </c>
      <c r="AC25" s="1" t="s">
        <v>111</v>
      </c>
      <c r="AD25" s="1" t="s">
        <v>111</v>
      </c>
      <c r="AE25" s="1" t="s">
        <v>111</v>
      </c>
      <c r="AF25" s="1">
        <f t="shared" si="3"/>
        <v>696</v>
      </c>
      <c r="AG25" s="1" t="s">
        <v>116</v>
      </c>
      <c r="AH25" s="1" t="s">
        <v>41</v>
      </c>
      <c r="AI25" s="1" t="s">
        <v>103</v>
      </c>
      <c r="AJ25" s="1" t="s">
        <v>16</v>
      </c>
      <c r="AK25" s="1" t="s">
        <v>17</v>
      </c>
      <c r="AL25" s="1">
        <v>28</v>
      </c>
      <c r="AM25" s="1">
        <f t="shared" si="2"/>
        <v>672</v>
      </c>
    </row>
    <row r="26" spans="1:39" s="1" customFormat="1" ht="14.95" hidden="1" x14ac:dyDescent="0.25">
      <c r="A26" s="1" t="s">
        <v>132</v>
      </c>
      <c r="B26" s="1" t="s">
        <v>21</v>
      </c>
      <c r="C26" s="1">
        <v>314.05</v>
      </c>
      <c r="D26" s="1" t="s">
        <v>136</v>
      </c>
      <c r="E26" s="1" t="s">
        <v>10</v>
      </c>
      <c r="F26" s="1" t="s">
        <v>39</v>
      </c>
      <c r="G26" s="1" t="s">
        <v>12</v>
      </c>
      <c r="H26" s="1" t="s">
        <v>95</v>
      </c>
      <c r="I26" s="1">
        <v>0</v>
      </c>
      <c r="J26" s="1">
        <v>62.6</v>
      </c>
      <c r="K26" s="1">
        <v>125</v>
      </c>
      <c r="L26" s="1">
        <v>250</v>
      </c>
      <c r="M26" s="1">
        <v>500</v>
      </c>
      <c r="N26" s="1">
        <v>1000</v>
      </c>
      <c r="O26" s="1">
        <v>12</v>
      </c>
      <c r="P26" s="1">
        <f t="shared" si="0"/>
        <v>12</v>
      </c>
      <c r="Q26" s="1">
        <f t="shared" si="1"/>
        <v>56</v>
      </c>
      <c r="R26" s="1">
        <v>2.5000000000000001E-2</v>
      </c>
      <c r="S26" s="1">
        <v>0.378</v>
      </c>
      <c r="T26" s="1">
        <v>0.503</v>
      </c>
      <c r="U26" s="1">
        <v>1.2969999999999999</v>
      </c>
      <c r="V26" s="1">
        <v>3.339</v>
      </c>
      <c r="W26" s="1">
        <v>10.898999999999999</v>
      </c>
      <c r="X26" s="1" t="s">
        <v>124</v>
      </c>
      <c r="Y26" s="1" t="s">
        <v>40</v>
      </c>
      <c r="Z26" s="1" t="s">
        <v>111</v>
      </c>
      <c r="AA26" s="1" t="s">
        <v>111</v>
      </c>
      <c r="AB26" s="1" t="s">
        <v>111</v>
      </c>
      <c r="AC26" s="1" t="s">
        <v>111</v>
      </c>
      <c r="AD26" s="1" t="s">
        <v>111</v>
      </c>
      <c r="AE26" s="1" t="s">
        <v>111</v>
      </c>
      <c r="AF26" s="1">
        <f t="shared" si="3"/>
        <v>696</v>
      </c>
      <c r="AG26" s="1" t="s">
        <v>117</v>
      </c>
      <c r="AH26" s="1" t="s">
        <v>41</v>
      </c>
      <c r="AI26" s="1" t="s">
        <v>103</v>
      </c>
      <c r="AJ26" s="1" t="s">
        <v>16</v>
      </c>
      <c r="AK26" s="1" t="s">
        <v>17</v>
      </c>
      <c r="AL26" s="1">
        <v>28</v>
      </c>
      <c r="AM26" s="1">
        <f t="shared" si="2"/>
        <v>672</v>
      </c>
    </row>
    <row r="27" spans="1:39" s="1" customFormat="1" ht="14.95" hidden="1" x14ac:dyDescent="0.25">
      <c r="A27" s="1" t="s">
        <v>132</v>
      </c>
      <c r="B27" s="1" t="s">
        <v>21</v>
      </c>
      <c r="C27" s="1">
        <v>314.05</v>
      </c>
      <c r="D27" s="1" t="s">
        <v>136</v>
      </c>
      <c r="E27" s="1" t="s">
        <v>10</v>
      </c>
      <c r="F27" s="1" t="s">
        <v>39</v>
      </c>
      <c r="G27" s="1" t="s">
        <v>19</v>
      </c>
      <c r="H27" s="1" t="s">
        <v>95</v>
      </c>
      <c r="I27" s="1">
        <v>0</v>
      </c>
      <c r="J27" s="1">
        <v>62.6</v>
      </c>
      <c r="K27" s="1">
        <v>125</v>
      </c>
      <c r="L27" s="1">
        <v>250</v>
      </c>
      <c r="M27" s="1">
        <v>500</v>
      </c>
      <c r="N27" s="1">
        <v>1000</v>
      </c>
      <c r="O27" s="1">
        <v>12</v>
      </c>
      <c r="P27" s="1">
        <f t="shared" si="0"/>
        <v>12</v>
      </c>
      <c r="Q27" s="1">
        <f t="shared" si="1"/>
        <v>56</v>
      </c>
      <c r="R27" s="1">
        <v>2.5000000000000001E-2</v>
      </c>
      <c r="S27" s="1">
        <v>0.129</v>
      </c>
      <c r="T27" s="1">
        <v>0.29199999999999998</v>
      </c>
      <c r="U27" s="1">
        <v>0.47499999999999998</v>
      </c>
      <c r="V27" s="1">
        <v>1.6679999999999999</v>
      </c>
      <c r="W27" s="1">
        <v>6.7119999999999997</v>
      </c>
      <c r="X27" s="1" t="s">
        <v>124</v>
      </c>
      <c r="Y27" s="1" t="s">
        <v>42</v>
      </c>
      <c r="Z27" s="1" t="s">
        <v>111</v>
      </c>
      <c r="AA27" s="1" t="s">
        <v>111</v>
      </c>
      <c r="AB27" s="1" t="s">
        <v>111</v>
      </c>
      <c r="AC27" s="1" t="s">
        <v>111</v>
      </c>
      <c r="AD27" s="1" t="s">
        <v>111</v>
      </c>
      <c r="AE27" s="1" t="s">
        <v>111</v>
      </c>
      <c r="AF27" s="1">
        <f t="shared" si="3"/>
        <v>696</v>
      </c>
      <c r="AG27" s="1" t="s">
        <v>117</v>
      </c>
      <c r="AH27" s="1" t="s">
        <v>41</v>
      </c>
      <c r="AI27" s="1" t="s">
        <v>103</v>
      </c>
      <c r="AJ27" s="1" t="s">
        <v>16</v>
      </c>
      <c r="AK27" s="1" t="s">
        <v>17</v>
      </c>
      <c r="AL27" s="1">
        <v>28</v>
      </c>
      <c r="AM27" s="1">
        <f t="shared" si="2"/>
        <v>672</v>
      </c>
    </row>
    <row r="28" spans="1:39" ht="14.95" hidden="1" x14ac:dyDescent="0.25">
      <c r="A28" s="3" t="s">
        <v>145</v>
      </c>
      <c r="B28" s="3" t="s">
        <v>145</v>
      </c>
      <c r="C28" s="3">
        <v>414.07</v>
      </c>
      <c r="D28" s="3" t="s">
        <v>146</v>
      </c>
      <c r="E28" s="3" t="s">
        <v>10</v>
      </c>
      <c r="F28" s="3" t="s">
        <v>147</v>
      </c>
      <c r="G28" s="3" t="s">
        <v>19</v>
      </c>
      <c r="H28" s="3" t="s">
        <v>148</v>
      </c>
      <c r="I28" s="1">
        <v>0</v>
      </c>
      <c r="J28" s="1">
        <v>6.25</v>
      </c>
      <c r="K28" s="1">
        <v>12.5</v>
      </c>
      <c r="L28" s="1">
        <v>25</v>
      </c>
      <c r="M28" s="1">
        <v>50</v>
      </c>
      <c r="N28" s="1">
        <v>100</v>
      </c>
      <c r="O28" s="1">
        <v>24</v>
      </c>
      <c r="P28" s="1">
        <f t="shared" si="0"/>
        <v>24</v>
      </c>
      <c r="Q28" s="1">
        <f t="shared" si="1"/>
        <v>28</v>
      </c>
      <c r="R28" s="1">
        <v>0</v>
      </c>
      <c r="S28" s="1">
        <v>0.49099999999999999</v>
      </c>
      <c r="T28" s="1">
        <v>1.153</v>
      </c>
      <c r="U28" s="1">
        <v>2.96</v>
      </c>
      <c r="V28" s="1">
        <v>9.3260000000000005</v>
      </c>
      <c r="W28" s="1">
        <v>23.443999999999999</v>
      </c>
      <c r="X28" s="1" t="s">
        <v>125</v>
      </c>
      <c r="Y28" s="3" t="s">
        <v>149</v>
      </c>
      <c r="Z28" s="1" t="s">
        <v>111</v>
      </c>
      <c r="AA28" s="1" t="s">
        <v>111</v>
      </c>
      <c r="AB28" s="1" t="s">
        <v>111</v>
      </c>
      <c r="AC28" s="1" t="s">
        <v>111</v>
      </c>
      <c r="AD28" s="1" t="s">
        <v>111</v>
      </c>
      <c r="AE28" s="1" t="s">
        <v>111</v>
      </c>
      <c r="AF28" s="1">
        <f t="shared" si="3"/>
        <v>696</v>
      </c>
      <c r="AG28" s="1" t="s">
        <v>116</v>
      </c>
      <c r="AH28" s="3" t="s">
        <v>41</v>
      </c>
      <c r="AI28" s="1" t="s">
        <v>103</v>
      </c>
      <c r="AJ28" s="3" t="s">
        <v>16</v>
      </c>
      <c r="AK28" s="3" t="s">
        <v>17</v>
      </c>
      <c r="AL28" s="1">
        <v>28</v>
      </c>
      <c r="AM28" s="1">
        <f t="shared" si="2"/>
        <v>672</v>
      </c>
    </row>
    <row r="29" spans="1:39" hidden="1" x14ac:dyDescent="0.25">
      <c r="A29" s="1" t="s">
        <v>145</v>
      </c>
      <c r="B29" s="1" t="s">
        <v>145</v>
      </c>
      <c r="C29" s="1">
        <v>414.07</v>
      </c>
      <c r="D29" s="1" t="s">
        <v>146</v>
      </c>
      <c r="E29" s="1" t="s">
        <v>10</v>
      </c>
      <c r="F29" s="1" t="s">
        <v>147</v>
      </c>
      <c r="G29" s="1" t="s">
        <v>12</v>
      </c>
      <c r="H29" s="1" t="s">
        <v>67</v>
      </c>
      <c r="I29" s="1">
        <v>0</v>
      </c>
      <c r="J29" s="1">
        <v>0.625</v>
      </c>
      <c r="K29" s="1">
        <v>1.25</v>
      </c>
      <c r="L29" s="1">
        <v>2.5</v>
      </c>
      <c r="M29" s="1">
        <v>5</v>
      </c>
      <c r="N29" s="1">
        <v>10</v>
      </c>
      <c r="O29" s="1">
        <v>24</v>
      </c>
      <c r="P29" s="1">
        <f t="shared" si="0"/>
        <v>24</v>
      </c>
      <c r="Q29" s="1">
        <f t="shared" si="1"/>
        <v>28</v>
      </c>
      <c r="R29" s="1">
        <v>9.8000000000000004E-2</v>
      </c>
      <c r="S29" s="1">
        <v>50.69</v>
      </c>
      <c r="T29" s="1">
        <v>73.48</v>
      </c>
      <c r="U29" s="1">
        <v>95.43</v>
      </c>
      <c r="V29" s="1">
        <v>110.72</v>
      </c>
      <c r="W29" s="1">
        <v>148.57</v>
      </c>
      <c r="X29" s="1" t="s">
        <v>125</v>
      </c>
      <c r="Y29" s="1" t="s">
        <v>150</v>
      </c>
      <c r="Z29" s="1" t="s">
        <v>111</v>
      </c>
      <c r="AA29" s="1" t="s">
        <v>111</v>
      </c>
      <c r="AB29" s="1" t="s">
        <v>111</v>
      </c>
      <c r="AC29" s="1" t="s">
        <v>111</v>
      </c>
      <c r="AD29" s="1" t="s">
        <v>111</v>
      </c>
      <c r="AE29" s="1" t="s">
        <v>111</v>
      </c>
      <c r="AF29" s="1">
        <f t="shared" si="3"/>
        <v>696</v>
      </c>
      <c r="AG29" s="1" t="s">
        <v>116</v>
      </c>
      <c r="AH29" s="1" t="s">
        <v>41</v>
      </c>
      <c r="AI29" s="1" t="s">
        <v>103</v>
      </c>
      <c r="AJ29" s="1" t="s">
        <v>16</v>
      </c>
      <c r="AK29" s="1" t="s">
        <v>17</v>
      </c>
      <c r="AL29" s="1">
        <v>28</v>
      </c>
      <c r="AM29" s="1">
        <f t="shared" si="2"/>
        <v>672</v>
      </c>
    </row>
    <row r="30" spans="1:39" hidden="1" x14ac:dyDescent="0.25">
      <c r="A30" s="1" t="s">
        <v>133</v>
      </c>
      <c r="B30" s="1" t="s">
        <v>53</v>
      </c>
      <c r="C30" s="1">
        <v>364.06</v>
      </c>
      <c r="D30" s="1" t="s">
        <v>48</v>
      </c>
      <c r="E30" s="1" t="s">
        <v>44</v>
      </c>
      <c r="F30" s="1" t="s">
        <v>49</v>
      </c>
      <c r="G30" s="1" t="s">
        <v>19</v>
      </c>
      <c r="H30" s="1" t="s">
        <v>50</v>
      </c>
      <c r="I30" s="1">
        <v>0</v>
      </c>
      <c r="J30" s="1">
        <v>31.25</v>
      </c>
      <c r="K30" s="1">
        <v>62.5</v>
      </c>
      <c r="L30" s="1">
        <v>125</v>
      </c>
      <c r="M30" s="1" t="s">
        <v>111</v>
      </c>
      <c r="N30" s="1" t="s">
        <v>111</v>
      </c>
      <c r="O30" s="1">
        <v>24</v>
      </c>
      <c r="P30" s="1">
        <f t="shared" si="0"/>
        <v>24</v>
      </c>
      <c r="Q30" s="1">
        <f t="shared" si="1"/>
        <v>28</v>
      </c>
      <c r="R30" s="1">
        <v>0.8</v>
      </c>
      <c r="S30" s="1">
        <v>63.5</v>
      </c>
      <c r="T30" s="1">
        <v>93.2</v>
      </c>
      <c r="U30" s="1">
        <v>139.19999999999999</v>
      </c>
      <c r="V30" s="1" t="s">
        <v>111</v>
      </c>
      <c r="W30" s="1" t="s">
        <v>111</v>
      </c>
      <c r="X30" s="1" t="s">
        <v>124</v>
      </c>
      <c r="Y30" s="1" t="s">
        <v>54</v>
      </c>
      <c r="Z30" s="1">
        <v>0.5</v>
      </c>
      <c r="AA30" s="1">
        <v>36.299999999999997</v>
      </c>
      <c r="AB30" s="1">
        <v>36.299999999999997</v>
      </c>
      <c r="AC30" s="1">
        <v>60.4</v>
      </c>
      <c r="AD30" s="1"/>
      <c r="AE30" s="1" t="s">
        <v>111</v>
      </c>
      <c r="AF30" s="1">
        <f t="shared" si="3"/>
        <v>696</v>
      </c>
      <c r="AG30" s="1" t="s">
        <v>116</v>
      </c>
      <c r="AH30" s="1" t="s">
        <v>52</v>
      </c>
      <c r="AI30" s="1" t="s">
        <v>102</v>
      </c>
      <c r="AJ30" s="1" t="s">
        <v>16</v>
      </c>
      <c r="AK30" s="1" t="s">
        <v>17</v>
      </c>
      <c r="AL30" s="1">
        <v>28</v>
      </c>
      <c r="AM30" s="1">
        <f t="shared" si="2"/>
        <v>672</v>
      </c>
    </row>
    <row r="31" spans="1:39" hidden="1" x14ac:dyDescent="0.25">
      <c r="A31" s="1" t="s">
        <v>132</v>
      </c>
      <c r="B31" s="1" t="s">
        <v>21</v>
      </c>
      <c r="C31" s="1">
        <v>314.05</v>
      </c>
      <c r="D31" s="1" t="s">
        <v>48</v>
      </c>
      <c r="E31" s="1" t="s">
        <v>44</v>
      </c>
      <c r="F31" s="1" t="s">
        <v>49</v>
      </c>
      <c r="G31" s="1" t="s">
        <v>19</v>
      </c>
      <c r="H31" s="1" t="s">
        <v>50</v>
      </c>
      <c r="I31" s="1">
        <v>0</v>
      </c>
      <c r="J31" s="1">
        <v>31.25</v>
      </c>
      <c r="K31" s="1">
        <v>62.5</v>
      </c>
      <c r="L31" s="1">
        <v>125</v>
      </c>
      <c r="M31" s="1" t="s">
        <v>111</v>
      </c>
      <c r="N31" s="1" t="s">
        <v>111</v>
      </c>
      <c r="O31" s="1">
        <v>24</v>
      </c>
      <c r="P31" s="1">
        <f t="shared" si="0"/>
        <v>24</v>
      </c>
      <c r="Q31" s="1">
        <f t="shared" si="1"/>
        <v>28</v>
      </c>
      <c r="R31" s="1">
        <v>0</v>
      </c>
      <c r="S31" s="1">
        <v>1.3</v>
      </c>
      <c r="T31" s="1">
        <v>3.1</v>
      </c>
      <c r="U31" s="1">
        <v>4.5</v>
      </c>
      <c r="V31" s="1" t="s">
        <v>111</v>
      </c>
      <c r="W31" s="1" t="s">
        <v>111</v>
      </c>
      <c r="X31" s="1" t="s">
        <v>124</v>
      </c>
      <c r="Y31" s="1" t="s">
        <v>51</v>
      </c>
      <c r="Z31" s="1">
        <v>0.2</v>
      </c>
      <c r="AA31" s="1">
        <v>0.9</v>
      </c>
      <c r="AB31" s="1">
        <v>0.9</v>
      </c>
      <c r="AC31" s="1">
        <v>2.7</v>
      </c>
      <c r="AD31" s="1" t="s">
        <v>111</v>
      </c>
      <c r="AE31" s="1" t="s">
        <v>111</v>
      </c>
      <c r="AF31" s="1">
        <f t="shared" si="3"/>
        <v>696</v>
      </c>
      <c r="AG31" s="1" t="s">
        <v>116</v>
      </c>
      <c r="AH31" s="1" t="s">
        <v>52</v>
      </c>
      <c r="AI31" s="1" t="s">
        <v>102</v>
      </c>
      <c r="AJ31" s="1" t="s">
        <v>16</v>
      </c>
      <c r="AK31" s="1" t="s">
        <v>17</v>
      </c>
      <c r="AL31" s="1">
        <v>28</v>
      </c>
      <c r="AM31" s="1">
        <f t="shared" si="2"/>
        <v>672</v>
      </c>
    </row>
    <row r="32" spans="1:39" hidden="1" x14ac:dyDescent="0.25">
      <c r="A32" s="1" t="s">
        <v>7</v>
      </c>
      <c r="B32" s="1" t="s">
        <v>7</v>
      </c>
      <c r="C32" s="2">
        <v>231.07</v>
      </c>
      <c r="D32" s="1" t="s">
        <v>152</v>
      </c>
      <c r="E32" s="1" t="s">
        <v>44</v>
      </c>
      <c r="F32" s="1" t="s">
        <v>143</v>
      </c>
      <c r="G32" s="1" t="s">
        <v>19</v>
      </c>
      <c r="H32" s="1" t="s">
        <v>89</v>
      </c>
      <c r="I32" s="1">
        <v>0</v>
      </c>
      <c r="J32" s="1">
        <v>35</v>
      </c>
      <c r="K32" s="1">
        <v>175</v>
      </c>
      <c r="L32" s="1">
        <v>350</v>
      </c>
      <c r="M32" s="1" t="s">
        <v>111</v>
      </c>
      <c r="N32" s="1" t="s">
        <v>111</v>
      </c>
      <c r="O32" s="1">
        <v>24</v>
      </c>
      <c r="P32" s="1">
        <f t="shared" si="0"/>
        <v>24</v>
      </c>
      <c r="Q32" s="1">
        <f t="shared" si="1"/>
        <v>17</v>
      </c>
      <c r="R32" s="1">
        <v>2E-3</v>
      </c>
      <c r="S32" s="1">
        <v>3.78</v>
      </c>
      <c r="T32" s="1">
        <v>4.4400000000000004</v>
      </c>
      <c r="U32" s="1">
        <v>2.4900000000000002</v>
      </c>
      <c r="V32" s="1" t="s">
        <v>111</v>
      </c>
      <c r="W32" s="1" t="s">
        <v>111</v>
      </c>
      <c r="X32" s="1" t="s">
        <v>124</v>
      </c>
      <c r="Y32" s="1"/>
      <c r="Z32" s="1" t="s">
        <v>111</v>
      </c>
      <c r="AA32" s="1" t="s">
        <v>111</v>
      </c>
      <c r="AB32" s="1" t="s">
        <v>111</v>
      </c>
      <c r="AC32" s="1" t="s">
        <v>111</v>
      </c>
      <c r="AD32" s="1" t="s">
        <v>111</v>
      </c>
      <c r="AE32" s="1" t="s">
        <v>111</v>
      </c>
      <c r="AF32" s="1">
        <f t="shared" si="3"/>
        <v>432</v>
      </c>
      <c r="AG32" s="1" t="s">
        <v>116</v>
      </c>
      <c r="AH32" s="1" t="s">
        <v>153</v>
      </c>
      <c r="AI32" s="1" t="s">
        <v>103</v>
      </c>
      <c r="AJ32" s="1" t="s">
        <v>16</v>
      </c>
      <c r="AK32" s="1" t="s">
        <v>154</v>
      </c>
      <c r="AL32" s="1">
        <v>17</v>
      </c>
      <c r="AM32" s="1">
        <f t="shared" si="2"/>
        <v>408</v>
      </c>
    </row>
    <row r="33" spans="1:39" hidden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Bolstad, Heather@OEHHA</dc:creator>
  <cp:lastModifiedBy>Coffin, Scott@OEHHA</cp:lastModifiedBy>
  <dcterms:created xsi:type="dcterms:W3CDTF">2024-08-09T21:25:03Z</dcterms:created>
  <dcterms:modified xsi:type="dcterms:W3CDTF">2026-03-04T20:08:30Z</dcterms:modified>
</cp:coreProperties>
</file>